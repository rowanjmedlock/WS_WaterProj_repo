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evMain\Projects\WS_WaterProj_repo\data\"/>
    </mc:Choice>
  </mc:AlternateContent>
  <xr:revisionPtr revIDLastSave="0" documentId="13_ncr:1_{B2AC586A-00F9-4F95-95F7-F8DDC4B125F8}" xr6:coauthVersionLast="47" xr6:coauthVersionMax="47" xr10:uidLastSave="{00000000-0000-0000-0000-000000000000}"/>
  <bookViews>
    <workbookView xWindow="-110" yWindow="-110" windowWidth="25820" windowHeight="15500" xr2:uid="{F5F5F10C-1BA2-4418-96DA-7278625762B4}"/>
  </bookViews>
  <sheets>
    <sheet name="Full survey table" sheetId="54" r:id="rId1"/>
    <sheet name="log(debt) vs log(pop.) normaliz" sheetId="57" r:id="rId2"/>
    <sheet name="GMA &amp; Pop fact check" sheetId="55" r:id="rId3"/>
    <sheet name="GMA &amp; Pop. Bib." sheetId="56" r:id="rId4"/>
    <sheet name="Contacts" sheetId="1" r:id="rId5"/>
    <sheet name="Othello" sheetId="4" r:id="rId6"/>
    <sheet name="Ritzville" sheetId="5" r:id="rId7"/>
    <sheet name="Clarkston" sheetId="6" r:id="rId8"/>
    <sheet name="Longview" sheetId="7" r:id="rId9"/>
    <sheet name="Kelso" sheetId="8" r:id="rId10"/>
    <sheet name="Castle Rock" sheetId="9" r:id="rId11"/>
    <sheet name="Woodland" sheetId="10" r:id="rId12"/>
    <sheet name="Kalama" sheetId="11" r:id="rId13"/>
    <sheet name="Republic" sheetId="12" r:id="rId14"/>
    <sheet name="Aberdeen" sheetId="13" r:id="rId15"/>
    <sheet name="Hoquiam" sheetId="14" r:id="rId16"/>
    <sheet name="Ocean Shores" sheetId="15" r:id="rId17"/>
    <sheet name="Montesano" sheetId="16" r:id="rId18"/>
    <sheet name="Elma" sheetId="17" r:id="rId19"/>
    <sheet name="Westport" sheetId="18" r:id="rId20"/>
    <sheet name="Cosmopolis" sheetId="19" r:id="rId21"/>
    <sheet name="Goldendale" sheetId="20" r:id="rId22"/>
    <sheet name="White Salmon" sheetId="21" r:id="rId23"/>
    <sheet name="Bingen" sheetId="22" r:id="rId24"/>
    <sheet name="Davenport" sheetId="23" r:id="rId25"/>
    <sheet name="Odessa" sheetId="24" r:id="rId26"/>
    <sheet name="Harrington" sheetId="25" r:id="rId27"/>
    <sheet name="Reardan" sheetId="26" r:id="rId28"/>
    <sheet name="Wilbur" sheetId="27" r:id="rId29"/>
    <sheet name="Omak" sheetId="28" r:id="rId30"/>
    <sheet name="Okanogan (city)" sheetId="29" r:id="rId31"/>
    <sheet name="Brewster" sheetId="30" r:id="rId32"/>
    <sheet name="Oroville" sheetId="31" r:id="rId33"/>
    <sheet name="Tonasket" sheetId="32" r:id="rId34"/>
    <sheet name="Pateros" sheetId="33" r:id="rId35"/>
    <sheet name="Twisp" sheetId="34" r:id="rId36"/>
    <sheet name="Winthrop" sheetId="35" r:id="rId37"/>
    <sheet name="Skamania County - General Publi" sheetId="36" r:id="rId38"/>
    <sheet name="Stevenson" sheetId="37" r:id="rId39"/>
    <sheet name="North Bonneville" sheetId="38" r:id="rId40"/>
    <sheet name="Wahkiakum County - General Publ" sheetId="39" r:id="rId41"/>
    <sheet name="Cathlamet" sheetId="40" r:id="rId42"/>
    <sheet name="Pullman" sheetId="41" r:id="rId43"/>
    <sheet name="Colfax" sheetId="42" r:id="rId44"/>
    <sheet name="Palouse" sheetId="43" r:id="rId45"/>
    <sheet name="Tekoa" sheetId="44" r:id="rId46"/>
    <sheet name="Rosalia" sheetId="45" r:id="rId47"/>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54" l="1" a="1"/>
  <c r="O5" i="54" s="1"/>
  <c r="BG5" i="54"/>
  <c r="BG44" i="54"/>
  <c r="BG43" i="54"/>
  <c r="BG42" i="54"/>
  <c r="BG41" i="54"/>
  <c r="BG40" i="54"/>
  <c r="BG39" i="54"/>
  <c r="BG38" i="54"/>
  <c r="BG37" i="54"/>
  <c r="BG36" i="54"/>
  <c r="BG35" i="54"/>
  <c r="BG34" i="54"/>
  <c r="BG33" i="54"/>
  <c r="BG32" i="54"/>
  <c r="BG31" i="54"/>
  <c r="BG30" i="54"/>
  <c r="BG29" i="54"/>
  <c r="BG28" i="54"/>
  <c r="BG27" i="54"/>
  <c r="BG26" i="54"/>
  <c r="BG25" i="54"/>
  <c r="BG24" i="54"/>
  <c r="BG23" i="54"/>
  <c r="BG22" i="54"/>
  <c r="BG21" i="54"/>
  <c r="BG20" i="54"/>
  <c r="BG19" i="54"/>
  <c r="BG18" i="54"/>
  <c r="BG17" i="54"/>
  <c r="BG16" i="54"/>
  <c r="BG15" i="54"/>
  <c r="BG14" i="54"/>
  <c r="BG13" i="54"/>
  <c r="BG12" i="54"/>
  <c r="BG11" i="54"/>
  <c r="BG10" i="54"/>
  <c r="BG9" i="54"/>
  <c r="BG8" i="54"/>
  <c r="BG7" i="54"/>
  <c r="BG6" i="54"/>
  <c r="BG4" i="54"/>
  <c r="BG3" i="54"/>
  <c r="BK6" i="54"/>
  <c r="BK44" i="54"/>
  <c r="BK43" i="54"/>
  <c r="BK42" i="54"/>
  <c r="BK41" i="54"/>
  <c r="BK40" i="54"/>
  <c r="BK39" i="54"/>
  <c r="BK38" i="54"/>
  <c r="BK37" i="54"/>
  <c r="BK36" i="54"/>
  <c r="BK35" i="54"/>
  <c r="BK34" i="54"/>
  <c r="BK33" i="54"/>
  <c r="BK32" i="54"/>
  <c r="BK31" i="54"/>
  <c r="BK30" i="54"/>
  <c r="BK29" i="54"/>
  <c r="BK28" i="54"/>
  <c r="BK27" i="54"/>
  <c r="BK26" i="54"/>
  <c r="BK25" i="54"/>
  <c r="BK24" i="54"/>
  <c r="BK23" i="54"/>
  <c r="BK22" i="54"/>
  <c r="BK21" i="54"/>
  <c r="BK20" i="54"/>
  <c r="BK19" i="54"/>
  <c r="BK18" i="54"/>
  <c r="BK17" i="54"/>
  <c r="BK16" i="54"/>
  <c r="BK15" i="54"/>
  <c r="BK14" i="54"/>
  <c r="BK13" i="54"/>
  <c r="BK12" i="54"/>
  <c r="BK11" i="54"/>
  <c r="BK10" i="54"/>
  <c r="BK9" i="54"/>
  <c r="BK8" i="54"/>
  <c r="BK7" i="54"/>
  <c r="BK5" i="54"/>
  <c r="BK3" i="54"/>
  <c r="BK4" i="54"/>
  <c r="F44" i="57"/>
  <c r="F43" i="57"/>
  <c r="F42" i="57"/>
  <c r="F41" i="57"/>
  <c r="F40" i="57"/>
  <c r="F39" i="57"/>
  <c r="F38" i="57"/>
  <c r="F37" i="57"/>
  <c r="F36" i="57"/>
  <c r="F35" i="57"/>
  <c r="F34" i="57"/>
  <c r="F33" i="57"/>
  <c r="F32" i="57"/>
  <c r="F31" i="57"/>
  <c r="F30" i="57"/>
  <c r="F29" i="57"/>
  <c r="F28" i="57"/>
  <c r="F27" i="57"/>
  <c r="F26" i="57"/>
  <c r="F25" i="57"/>
  <c r="F24" i="57"/>
  <c r="F23" i="57"/>
  <c r="F22" i="57"/>
  <c r="F21" i="57"/>
  <c r="F20" i="57"/>
  <c r="F19" i="57"/>
  <c r="F18" i="57"/>
  <c r="F17" i="57"/>
  <c r="F16" i="57"/>
  <c r="F15" i="57"/>
  <c r="F14" i="57"/>
  <c r="F13" i="57"/>
  <c r="F12" i="57"/>
  <c r="F11" i="57"/>
  <c r="F10" i="57"/>
  <c r="F9" i="57"/>
  <c r="F8" i="57"/>
  <c r="F7" i="57"/>
  <c r="F6" i="57"/>
  <c r="F5" i="57"/>
  <c r="F4" i="57"/>
  <c r="F3" i="57"/>
  <c r="E44" i="57"/>
  <c r="E43" i="57"/>
  <c r="E42" i="57"/>
  <c r="E41" i="57"/>
  <c r="E40" i="57"/>
  <c r="E39" i="57"/>
  <c r="E38" i="57"/>
  <c r="E37" i="57"/>
  <c r="E36" i="57"/>
  <c r="E35" i="57"/>
  <c r="E34" i="57"/>
  <c r="E33" i="57"/>
  <c r="E32" i="57"/>
  <c r="E31" i="57"/>
  <c r="E30" i="57"/>
  <c r="E29" i="57"/>
  <c r="E28" i="57"/>
  <c r="E27" i="57"/>
  <c r="E26" i="57"/>
  <c r="E25" i="57"/>
  <c r="E24" i="57"/>
  <c r="E23" i="57"/>
  <c r="E22" i="57"/>
  <c r="E21" i="57"/>
  <c r="E20" i="57"/>
  <c r="E19" i="57"/>
  <c r="E18" i="57"/>
  <c r="E17" i="57"/>
  <c r="E16" i="57"/>
  <c r="E15" i="57"/>
  <c r="E14" i="57"/>
  <c r="E13" i="57"/>
  <c r="E12" i="57"/>
  <c r="E11" i="57"/>
  <c r="E10" i="57"/>
  <c r="E9" i="57"/>
  <c r="E8" i="57"/>
  <c r="E7" i="57"/>
  <c r="E6" i="57"/>
  <c r="E5" i="57"/>
  <c r="E4" i="57"/>
  <c r="E3" i="57"/>
  <c r="O44" i="54" a="1"/>
  <c r="O44" i="54" s="1"/>
  <c r="O43" i="54" a="1"/>
  <c r="O43" i="54" s="1"/>
  <c r="O42" i="54" a="1"/>
  <c r="O42" i="54" s="1"/>
  <c r="O41" i="54" a="1"/>
  <c r="O41" i="54" s="1"/>
  <c r="O40" i="54" a="1"/>
  <c r="O40" i="54" s="1"/>
  <c r="O39" i="54" a="1"/>
  <c r="O39" i="54" s="1"/>
  <c r="O38" i="54" a="1"/>
  <c r="O38" i="54" s="1"/>
  <c r="O37" i="54" a="1"/>
  <c r="O37" i="54" s="1"/>
  <c r="O36" i="54" a="1"/>
  <c r="O36" i="54" s="1"/>
  <c r="O35" i="54" a="1"/>
  <c r="O35" i="54" s="1"/>
  <c r="O34" i="54" a="1"/>
  <c r="O34" i="54" s="1"/>
  <c r="O33" i="54" a="1"/>
  <c r="O33" i="54" s="1"/>
  <c r="O32" i="54" a="1"/>
  <c r="O32" i="54" s="1"/>
  <c r="O31" i="54" a="1"/>
  <c r="O31" i="54" s="1"/>
  <c r="O30" i="54" a="1"/>
  <c r="O30" i="54" s="1"/>
  <c r="O29" i="54" a="1"/>
  <c r="O29" i="54" s="1"/>
  <c r="O28" i="54" a="1"/>
  <c r="O28" i="54" s="1"/>
  <c r="O27" i="54" a="1"/>
  <c r="O27" i="54" s="1"/>
  <c r="O26" i="54" a="1"/>
  <c r="O26" i="54" s="1"/>
  <c r="O25" i="54" a="1"/>
  <c r="O25" i="54" s="1"/>
  <c r="O24" i="54" a="1"/>
  <c r="O24" i="54" s="1"/>
  <c r="O23" i="54" a="1"/>
  <c r="O23" i="54" s="1"/>
  <c r="O22" i="54" a="1"/>
  <c r="O22" i="54" s="1"/>
  <c r="O21" i="54" a="1"/>
  <c r="O21" i="54" s="1"/>
  <c r="O20" i="54" a="1"/>
  <c r="O20" i="54" s="1"/>
  <c r="O19" i="54" a="1"/>
  <c r="O19" i="54" s="1"/>
  <c r="O18" i="54" a="1"/>
  <c r="O18" i="54" s="1"/>
  <c r="O17" i="54" a="1"/>
  <c r="O17" i="54" s="1"/>
  <c r="O16" i="54" a="1"/>
  <c r="O16" i="54" s="1"/>
  <c r="O15" i="54" a="1"/>
  <c r="O15" i="54" s="1"/>
  <c r="O14" i="54" a="1"/>
  <c r="O14" i="54" s="1"/>
  <c r="O13" i="54" a="1"/>
  <c r="O13" i="54" s="1"/>
  <c r="O12" i="54" a="1"/>
  <c r="O12" i="54" s="1"/>
  <c r="O11" i="54" a="1"/>
  <c r="O11" i="54" s="1"/>
  <c r="O10" i="54" a="1"/>
  <c r="O10" i="54" s="1"/>
  <c r="O9" i="54" a="1"/>
  <c r="O9" i="54" s="1"/>
  <c r="O8" i="54" a="1"/>
  <c r="O8" i="54" s="1"/>
  <c r="O7" i="54" a="1"/>
  <c r="O7" i="54" s="1"/>
  <c r="O6" i="54" a="1"/>
  <c r="O6" i="54" s="1"/>
  <c r="O4" i="54" a="1"/>
  <c r="O4" i="54" s="1"/>
  <c r="O3" i="54" a="1"/>
  <c r="O3" i="54" s="1"/>
  <c r="N3" i="54"/>
  <c r="P3" i="54" s="1"/>
  <c r="N44" i="54"/>
  <c r="N43" i="54"/>
  <c r="N42" i="54"/>
  <c r="N41" i="54"/>
  <c r="N40" i="54"/>
  <c r="N39" i="54"/>
  <c r="P39" i="54" s="1"/>
  <c r="N38" i="54"/>
  <c r="P38" i="54" s="1"/>
  <c r="N37" i="54"/>
  <c r="P37" i="54" s="1"/>
  <c r="N36" i="54"/>
  <c r="N35" i="54"/>
  <c r="P35" i="54" s="1"/>
  <c r="N34" i="54"/>
  <c r="P34" i="54" s="1"/>
  <c r="N33" i="54"/>
  <c r="Q33" i="54" s="1" a="1"/>
  <c r="Q33" i="54" s="1"/>
  <c r="N32" i="54"/>
  <c r="Q32" i="54" s="1" a="1"/>
  <c r="Q32" i="54" s="1"/>
  <c r="N31" i="54"/>
  <c r="P31" i="54" s="1"/>
  <c r="N30" i="54"/>
  <c r="P30" i="54" s="1"/>
  <c r="N29" i="54"/>
  <c r="P29" i="54" s="1"/>
  <c r="N28" i="54"/>
  <c r="N27" i="54"/>
  <c r="N26" i="54"/>
  <c r="N25" i="54"/>
  <c r="N24" i="54"/>
  <c r="N23" i="54"/>
  <c r="Q23" i="54" s="1" a="1"/>
  <c r="Q23" i="54" s="1"/>
  <c r="N22" i="54"/>
  <c r="N21" i="54"/>
  <c r="N20" i="54"/>
  <c r="N19" i="54"/>
  <c r="P19" i="54" s="1"/>
  <c r="N18" i="54"/>
  <c r="P18" i="54" s="1"/>
  <c r="N17" i="54"/>
  <c r="P17" i="54" s="1"/>
  <c r="N16" i="54"/>
  <c r="P16" i="54" s="1"/>
  <c r="N15" i="54"/>
  <c r="P15" i="54" s="1"/>
  <c r="N14" i="54"/>
  <c r="Q14" i="54" s="1" a="1"/>
  <c r="Q14" i="54" s="1"/>
  <c r="N13" i="54"/>
  <c r="N12" i="54"/>
  <c r="N11" i="54"/>
  <c r="N10" i="54"/>
  <c r="N9" i="54"/>
  <c r="N8" i="54"/>
  <c r="P8" i="54" s="1"/>
  <c r="N7" i="54"/>
  <c r="P7" i="54" s="1"/>
  <c r="N6" i="54"/>
  <c r="Q6" i="54" s="1" a="1"/>
  <c r="Q6" i="54" s="1"/>
  <c r="N5" i="54"/>
  <c r="N4" i="54"/>
  <c r="Q4" i="54" s="1" a="1"/>
  <c r="Q4" i="54" s="1"/>
  <c r="Y3" i="54"/>
  <c r="P21" i="54"/>
  <c r="Y44" i="54"/>
  <c r="Y43" i="54"/>
  <c r="Y42" i="54"/>
  <c r="Y41" i="54"/>
  <c r="Y40" i="54"/>
  <c r="Y39" i="54"/>
  <c r="Y38" i="54"/>
  <c r="Y37" i="54"/>
  <c r="Y36" i="54"/>
  <c r="Y35" i="54"/>
  <c r="Y34" i="54"/>
  <c r="Y33" i="54"/>
  <c r="Y32" i="54"/>
  <c r="Y31" i="54"/>
  <c r="Y30" i="54"/>
  <c r="Y29" i="54"/>
  <c r="Y28" i="54"/>
  <c r="Y27" i="54"/>
  <c r="Y26" i="54"/>
  <c r="Y25" i="54"/>
  <c r="Y24" i="54"/>
  <c r="Y23" i="54"/>
  <c r="Y22" i="54"/>
  <c r="Y21" i="54"/>
  <c r="Y20" i="54"/>
  <c r="Y19" i="54"/>
  <c r="Y18" i="54"/>
  <c r="Y17" i="54"/>
  <c r="Y16" i="54"/>
  <c r="Y15" i="54"/>
  <c r="Y14" i="54"/>
  <c r="Y13" i="54"/>
  <c r="Y12" i="54"/>
  <c r="Y11" i="54"/>
  <c r="Y10" i="54"/>
  <c r="Y9" i="54"/>
  <c r="Y8" i="54"/>
  <c r="Y7" i="54"/>
  <c r="Y6" i="54"/>
  <c r="Y5" i="54"/>
  <c r="Y4" i="54"/>
  <c r="N3" i="57" l="1" a="1"/>
  <c r="N3" i="57" s="1"/>
  <c r="Q22" i="54" a="1"/>
  <c r="Q22" i="54" s="1"/>
  <c r="M3" i="57" a="1"/>
  <c r="M3" i="57" s="1"/>
  <c r="Q25" i="54" a="1"/>
  <c r="Q25" i="54" s="1"/>
  <c r="P32" i="54"/>
  <c r="Q9" i="54" a="1"/>
  <c r="Q9" i="54" s="1"/>
  <c r="Q24" i="54" a="1"/>
  <c r="Q24" i="54" s="1"/>
  <c r="Q10" i="54" a="1"/>
  <c r="Q10" i="54" s="1"/>
  <c r="Q11" i="54" a="1"/>
  <c r="Q11" i="54" s="1"/>
  <c r="Q12" i="54" a="1"/>
  <c r="Q12" i="54" s="1"/>
  <c r="P14" i="54"/>
  <c r="Q13" i="54" a="1"/>
  <c r="Q13" i="54" s="1"/>
  <c r="P33" i="54"/>
  <c r="Q40" i="54" a="1"/>
  <c r="Q40" i="54" s="1"/>
  <c r="Q41" i="54" a="1"/>
  <c r="Q41" i="54" s="1"/>
  <c r="P22" i="54"/>
  <c r="Q26" i="54" a="1"/>
  <c r="Q26" i="54" s="1"/>
  <c r="Q27" i="54" a="1"/>
  <c r="Q27" i="54" s="1"/>
  <c r="Q43" i="54" a="1"/>
  <c r="Q43" i="54" s="1"/>
  <c r="Q28" i="54" a="1"/>
  <c r="Q28" i="54" s="1"/>
  <c r="P6" i="54"/>
  <c r="Q29" i="54" a="1"/>
  <c r="Q29" i="54" s="1"/>
  <c r="P23" i="54"/>
  <c r="Q8" i="54" a="1"/>
  <c r="Q8" i="54" s="1"/>
  <c r="P40" i="54"/>
  <c r="P13" i="54"/>
  <c r="Q16" i="54" a="1"/>
  <c r="Q16" i="54" s="1"/>
  <c r="Q20" i="54" a="1"/>
  <c r="Q20" i="54" s="1"/>
  <c r="Q36" i="54" a="1"/>
  <c r="Q36" i="54" s="1"/>
  <c r="Q17" i="54" a="1"/>
  <c r="Q17" i="54" s="1"/>
  <c r="Q21" i="54" a="1"/>
  <c r="Q21" i="54" s="1"/>
  <c r="Q37" i="54" a="1"/>
  <c r="Q37" i="54" s="1"/>
  <c r="P24" i="54"/>
  <c r="Q5" i="54" a="1"/>
  <c r="Q5" i="54" s="1"/>
  <c r="Q38" i="54" a="1"/>
  <c r="Q38" i="54" s="1"/>
  <c r="Q39" i="54" a="1"/>
  <c r="Q39" i="54" s="1"/>
  <c r="Q42" i="54" a="1"/>
  <c r="Q42" i="54" s="1"/>
  <c r="Q44" i="54" a="1"/>
  <c r="Q44" i="54" s="1"/>
  <c r="Q30" i="54" a="1"/>
  <c r="Q30" i="54" s="1"/>
  <c r="Q66" i="54" a="1"/>
  <c r="Q66" i="54" s="1"/>
  <c r="P5" i="54"/>
  <c r="Q7" i="54" a="1"/>
  <c r="Q7" i="54" s="1"/>
  <c r="P4" i="54"/>
  <c r="P20" i="54"/>
  <c r="P36" i="54"/>
  <c r="Q15" i="54" a="1"/>
  <c r="Q15" i="54" s="1"/>
  <c r="Q31" i="54" a="1"/>
  <c r="Q31" i="54" s="1"/>
  <c r="P9" i="54"/>
  <c r="P25" i="54"/>
  <c r="P41" i="54"/>
  <c r="Q3" i="54" a="1"/>
  <c r="Q3" i="54" s="1"/>
  <c r="Q18" i="54" a="1"/>
  <c r="Q18" i="54" s="1"/>
  <c r="Q34" i="54" a="1"/>
  <c r="Q34" i="54" s="1"/>
  <c r="Q19" i="54" a="1"/>
  <c r="Q19" i="54" s="1"/>
  <c r="Q35" i="54" a="1"/>
  <c r="Q35" i="54" s="1"/>
  <c r="Q64" i="54"/>
  <c r="P10" i="54"/>
  <c r="P26" i="54"/>
  <c r="P42" i="54"/>
  <c r="P11" i="54"/>
  <c r="P27" i="54"/>
  <c r="P43" i="54"/>
  <c r="P12" i="54"/>
  <c r="P28" i="54"/>
  <c r="P44" i="54"/>
  <c r="G3" i="57" l="1"/>
  <c r="H3" i="57" s="1"/>
  <c r="BL3" i="54" s="1"/>
  <c r="G29" i="57"/>
  <c r="H29" i="57" s="1"/>
  <c r="BL29" i="54" s="1"/>
  <c r="G13" i="57"/>
  <c r="H13" i="57" s="1"/>
  <c r="BL13" i="54" s="1"/>
  <c r="G44" i="57"/>
  <c r="H44" i="57" s="1"/>
  <c r="BL44" i="54" s="1"/>
  <c r="G28" i="57"/>
  <c r="H28" i="57" s="1"/>
  <c r="BL28" i="54" s="1"/>
  <c r="G12" i="57"/>
  <c r="H12" i="57" s="1"/>
  <c r="BL12" i="54" s="1"/>
  <c r="G43" i="57"/>
  <c r="H43" i="57" s="1"/>
  <c r="BL43" i="54" s="1"/>
  <c r="G27" i="57"/>
  <c r="H27" i="57" s="1"/>
  <c r="BL27" i="54" s="1"/>
  <c r="G11" i="57"/>
  <c r="H11" i="57" s="1"/>
  <c r="BL11" i="54" s="1"/>
  <c r="G42" i="57"/>
  <c r="H42" i="57" s="1"/>
  <c r="BL42" i="54" s="1"/>
  <c r="G26" i="57"/>
  <c r="H26" i="57" s="1"/>
  <c r="BL26" i="54" s="1"/>
  <c r="G10" i="57"/>
  <c r="H10" i="57" s="1"/>
  <c r="BL10" i="54" s="1"/>
  <c r="G41" i="57"/>
  <c r="H41" i="57" s="1"/>
  <c r="BL41" i="54" s="1"/>
  <c r="G25" i="57"/>
  <c r="H25" i="57" s="1"/>
  <c r="BL25" i="54" s="1"/>
  <c r="G9" i="57"/>
  <c r="H9" i="57" s="1"/>
  <c r="BL9" i="54" s="1"/>
  <c r="G40" i="57"/>
  <c r="H40" i="57" s="1"/>
  <c r="BL40" i="54" s="1"/>
  <c r="G24" i="57"/>
  <c r="H24" i="57" s="1"/>
  <c r="BL24" i="54" s="1"/>
  <c r="G8" i="57"/>
  <c r="H8" i="57" s="1"/>
  <c r="BL8" i="54" s="1"/>
  <c r="G39" i="57"/>
  <c r="H39" i="57" s="1"/>
  <c r="BL39" i="54" s="1"/>
  <c r="G23" i="57"/>
  <c r="H23" i="57" s="1"/>
  <c r="BL23" i="54" s="1"/>
  <c r="G7" i="57"/>
  <c r="H7" i="57" s="1"/>
  <c r="BL7" i="54" s="1"/>
  <c r="G38" i="57"/>
  <c r="H38" i="57" s="1"/>
  <c r="BL38" i="54" s="1"/>
  <c r="G22" i="57"/>
  <c r="H22" i="57" s="1"/>
  <c r="BL22" i="54" s="1"/>
  <c r="G6" i="57"/>
  <c r="H6" i="57" s="1"/>
  <c r="BL6" i="54" s="1"/>
  <c r="G37" i="57"/>
  <c r="H37" i="57" s="1"/>
  <c r="BL37" i="54" s="1"/>
  <c r="G21" i="57"/>
  <c r="H21" i="57" s="1"/>
  <c r="BL21" i="54" s="1"/>
  <c r="G5" i="57"/>
  <c r="H5" i="57" s="1"/>
  <c r="BL5" i="54" s="1"/>
  <c r="G36" i="57"/>
  <c r="H36" i="57" s="1"/>
  <c r="BL36" i="54" s="1"/>
  <c r="G20" i="57"/>
  <c r="H20" i="57" s="1"/>
  <c r="BL20" i="54" s="1"/>
  <c r="G4" i="57"/>
  <c r="H4" i="57" s="1"/>
  <c r="BL4" i="54" s="1"/>
  <c r="G35" i="57"/>
  <c r="H35" i="57" s="1"/>
  <c r="BL35" i="54" s="1"/>
  <c r="G19" i="57"/>
  <c r="H19" i="57" s="1"/>
  <c r="BL19" i="54" s="1"/>
  <c r="G34" i="57"/>
  <c r="H34" i="57" s="1"/>
  <c r="BL34" i="54" s="1"/>
  <c r="G18" i="57"/>
  <c r="H18" i="57" s="1"/>
  <c r="BL18" i="54" s="1"/>
  <c r="G33" i="57"/>
  <c r="H33" i="57" s="1"/>
  <c r="BL33" i="54" s="1"/>
  <c r="G17" i="57"/>
  <c r="H17" i="57" s="1"/>
  <c r="BL17" i="54" s="1"/>
  <c r="G32" i="57"/>
  <c r="H32" i="57" s="1"/>
  <c r="BL32" i="54" s="1"/>
  <c r="G16" i="57"/>
  <c r="H16" i="57" s="1"/>
  <c r="BL16" i="54" s="1"/>
  <c r="G31" i="57"/>
  <c r="H31" i="57" s="1"/>
  <c r="BL31" i="54" s="1"/>
  <c r="G15" i="57"/>
  <c r="H15" i="57" s="1"/>
  <c r="BL15" i="54" s="1"/>
  <c r="G30" i="57"/>
  <c r="H30" i="57" s="1"/>
  <c r="BL30" i="54" s="1"/>
  <c r="G14" i="57"/>
  <c r="H14" i="57" s="1"/>
  <c r="BL14" i="5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<sst xmlns="http://schemas.openxmlformats.org/spreadsheetml/2006/main" count="3705" uniqueCount="838">
  <si>
    <t>County</t>
  </si>
  <si>
    <t>City/Town</t>
  </si>
  <si>
    <t>Pop. tier</t>
  </si>
  <si>
    <t>Contact Name</t>
  </si>
  <si>
    <t>Title</t>
  </si>
  <si>
    <t>Email</t>
  </si>
  <si>
    <t>Phone</t>
  </si>
  <si>
    <t>Alt Phone</t>
  </si>
  <si>
    <t>Website/Source</t>
  </si>
  <si>
    <t>Cross-reference</t>
  </si>
  <si>
    <t>Outreach Status</t>
  </si>
  <si>
    <t>Date Contacted</t>
  </si>
  <si>
    <t>Follow-up Date</t>
  </si>
  <si>
    <t>Notes</t>
  </si>
  <si>
    <t>Adams</t>
  </si>
  <si>
    <t>Othello</t>
  </si>
  <si>
    <t>Mid (~8k)</t>
  </si>
  <si>
    <t>Robin Adolphsen, PE</t>
  </si>
  <si>
    <t>Public Works Director / City Engineer</t>
  </si>
  <si>
    <t>radolphsen@othellowa.gov</t>
  </si>
  <si>
    <t>(509) 488-6997</t>
  </si>
  <si>
    <t>(509) 488-5686</t>
  </si>
  <si>
    <t>othellowa.gov; MRSC</t>
  </si>
  <si>
    <t>$</t>
  </si>
  <si>
    <t>Not contacted</t>
  </si>
  <si>
    <t>Ritzville</t>
  </si>
  <si>
    <t>Small (~1.7k)</t>
  </si>
  <si>
    <t>Dave Breazeale</t>
  </si>
  <si>
    <t>Public Works Director</t>
  </si>
  <si>
    <t>dave.breazeale@ritzville-wa.us</t>
  </si>
  <si>
    <t>(509) 659-1930</t>
  </si>
  <si>
    <t>ritzville-wa.us</t>
  </si>
  <si>
    <t>Asotin</t>
  </si>
  <si>
    <t>Clarkston</t>
  </si>
  <si>
    <t>Mid (~7k)</t>
  </si>
  <si>
    <t>Mike Dimmick</t>
  </si>
  <si>
    <t>mdimmick@clarkston-wa.com</t>
  </si>
  <si>
    <t>(509) 758-1662</t>
  </si>
  <si>
    <t>clarkston-wa.com</t>
  </si>
  <si>
    <t>Cowlitz</t>
  </si>
  <si>
    <t>Longview</t>
  </si>
  <si>
    <t>Large (~38k)</t>
  </si>
  <si>
    <t>Chris Collins</t>
  </si>
  <si>
    <t>chris.collins@ci.longview.wa.us</t>
  </si>
  <si>
    <t>(360) 442-5201</t>
  </si>
  <si>
    <t>mylongview.com</t>
  </si>
  <si>
    <t>$, phone # fixed &amp; filled in email</t>
  </si>
  <si>
    <t>Kelso</t>
  </si>
  <si>
    <t>Mid (~12k)</t>
  </si>
  <si>
    <t>Devin Mackin</t>
  </si>
  <si>
    <t>Public Works Manager</t>
  </si>
  <si>
    <t>(360) 577-3360</t>
  </si>
  <si>
    <t>kelso.gov</t>
  </si>
  <si>
    <t>$ email not found</t>
  </si>
  <si>
    <t>Castle Rock</t>
  </si>
  <si>
    <t>Small (~2.2k)</t>
  </si>
  <si>
    <t>Tyler Stone</t>
  </si>
  <si>
    <t>tstone@ci.castle-rock.wa.us</t>
  </si>
  <si>
    <t>(360) 274-7478</t>
  </si>
  <si>
    <t>ci.castle-rock.wa.us</t>
  </si>
  <si>
    <t>Woodland</t>
  </si>
  <si>
    <t>Mid (~6.5k)</t>
  </si>
  <si>
    <t>Riley Bunnell</t>
  </si>
  <si>
    <t>bunnellr@ci.woodland.wa.us</t>
  </si>
  <si>
    <t>(360) 225-7999 ext. 201</t>
  </si>
  <si>
    <t>ci.woodland.wa.us</t>
  </si>
  <si>
    <t>$, email added</t>
  </si>
  <si>
    <t>Kalama</t>
  </si>
  <si>
    <t>Small (~2.7k)</t>
  </si>
  <si>
    <t>Kelly Rasmussen</t>
  </si>
  <si>
    <t>Director of Public Works</t>
  </si>
  <si>
    <t>krasmussen@cityofkalama.com</t>
  </si>
  <si>
    <t>(360) 673-3706</t>
  </si>
  <si>
    <t>cityofkalama.com</t>
  </si>
  <si>
    <t>Ferry</t>
  </si>
  <si>
    <t>Republic</t>
  </si>
  <si>
    <t>Small (~1.1k)</t>
  </si>
  <si>
    <t>Todd Cole</t>
  </si>
  <si>
    <t>publicworks@republicwa.org</t>
  </si>
  <si>
    <t>(509) 775-2929</t>
  </si>
  <si>
    <t>(509) 207-5403 cell</t>
  </si>
  <si>
    <t>republicwa.org</t>
  </si>
  <si>
    <t>$, hard to verify if info is correct</t>
  </si>
  <si>
    <t>Grays Harbor</t>
  </si>
  <si>
    <t>Aberdeen</t>
  </si>
  <si>
    <t>Mid (~16k)</t>
  </si>
  <si>
    <t>Rick Sangder</t>
  </si>
  <si>
    <t>(360) 537-3228</t>
  </si>
  <si>
    <t>aberdeenwa.gov</t>
  </si>
  <si>
    <t>Hoquiam</t>
  </si>
  <si>
    <t>Mid (~8.6k)</t>
  </si>
  <si>
    <t>Eric Lawrence</t>
  </si>
  <si>
    <t>Public Works Superintendent</t>
  </si>
  <si>
    <t>elawrence@cityofhoquiam.com</t>
  </si>
  <si>
    <t>(360) 538-3966</t>
  </si>
  <si>
    <t>cityofhoquiam.com</t>
  </si>
  <si>
    <t>Ocean Shores</t>
  </si>
  <si>
    <t>Small (~6.7k)</t>
  </si>
  <si>
    <t>Ricardo Victoriano</t>
  </si>
  <si>
    <t>rvictoriano@osgov.com</t>
  </si>
  <si>
    <t>(360) 940-7535</t>
  </si>
  <si>
    <t>osgov.com -&gt; https://www.osgov.com/contact/index.php</t>
  </si>
  <si>
    <t>$, fixed person, phone #, and email</t>
  </si>
  <si>
    <t>Montesano</t>
  </si>
  <si>
    <t>Small (~4.1k)</t>
  </si>
  <si>
    <t>Mike Olden, PE</t>
  </si>
  <si>
    <t>PW &amp; Community Development Director</t>
  </si>
  <si>
    <t>molden@montesano.us</t>
  </si>
  <si>
    <t>(360) 249-3021 ext. 202</t>
  </si>
  <si>
    <t>montesano.us</t>
  </si>
  <si>
    <t>Elma</t>
  </si>
  <si>
    <t>Small (~3.4k)</t>
  </si>
  <si>
    <t>Rick Eaton</t>
  </si>
  <si>
    <t>pwdirector@cityofelma.com</t>
  </si>
  <si>
    <t>(360) 200-8402</t>
  </si>
  <si>
    <t>cityofelma.com; MRSC</t>
  </si>
  <si>
    <t>$, phone # fixed</t>
  </si>
  <si>
    <t>Westport</t>
  </si>
  <si>
    <t>Tom Cappa</t>
  </si>
  <si>
    <t>City Administrator (handles PW)</t>
  </si>
  <si>
    <t>(360) 268-0131 OR 360-268-0131</t>
  </si>
  <si>
    <t>ci.westport.wa.us</t>
  </si>
  <si>
    <t>$, info hard to verify</t>
  </si>
  <si>
    <t>Cosmopolis</t>
  </si>
  <si>
    <t>Small (~1.6k)</t>
  </si>
  <si>
    <t>Donnie Fowler</t>
  </si>
  <si>
    <t>Public Works Lead</t>
  </si>
  <si>
    <t>DFowler@cosmopoliswa.gov</t>
  </si>
  <si>
    <t>(360) 533-4280</t>
  </si>
  <si>
    <t>cosmopoliswa.gov</t>
  </si>
  <si>
    <t>$, email fixed</t>
  </si>
  <si>
    <t>Klickitat</t>
  </si>
  <si>
    <t>Goldendale</t>
  </si>
  <si>
    <t>Small (~3.5k)</t>
  </si>
  <si>
    <t>Doug Frantum</t>
  </si>
  <si>
    <t>Public works director</t>
  </si>
  <si>
    <t>communications@ci.goldendale.wa.us</t>
  </si>
  <si>
    <t>(509) 773-3771</t>
  </si>
  <si>
    <t xml:space="preserve">ci.goldendale.wa.us -&gt; https://www.goldendalesentinel.com/legals/legals-for-november-23rd-2022/article_74b84240-6b7d-11ed-b5ce-13e9fa68a218.html#:~:text=DATE%20OF%20FIRST%20PUBLICATION:%20November,(4512%2C%204602%2C%204701) </t>
  </si>
  <si>
    <t>$, fixed name</t>
  </si>
  <si>
    <t>White Salmon</t>
  </si>
  <si>
    <t>Small (~3k)</t>
  </si>
  <si>
    <t>Chris True</t>
  </si>
  <si>
    <t>(509) 493-1133 x500</t>
  </si>
  <si>
    <t>ChrisT@whitesalmonwa.gov</t>
  </si>
  <si>
    <t>$, email and phone # fixed</t>
  </si>
  <si>
    <t>Bingen</t>
  </si>
  <si>
    <t>Small (~750)</t>
  </si>
  <si>
    <t>David Spratt</t>
  </si>
  <si>
    <t>publicworks@bingenwashington.org</t>
  </si>
  <si>
    <t>541-490-5407</t>
  </si>
  <si>
    <t>bingenwashington.org; MRSC</t>
  </si>
  <si>
    <t>$, number has been updated multiple times within the past few years, could be wrong</t>
  </si>
  <si>
    <t>Lincoln</t>
  </si>
  <si>
    <t>Davenport</t>
  </si>
  <si>
    <t>davenportwa.us</t>
  </si>
  <si>
    <t>Odessa</t>
  </si>
  <si>
    <t>Small (~1k)</t>
  </si>
  <si>
    <t>Gerald Greenwalt</t>
  </si>
  <si>
    <t>pwd@odessawa.org</t>
  </si>
  <si>
    <t>(509) 988-2401</t>
  </si>
  <si>
    <t>(509) 988-3093</t>
  </si>
  <si>
    <t>odessawa.org; MRSC</t>
  </si>
  <si>
    <t>Harrington</t>
  </si>
  <si>
    <t>Small (~400)</t>
  </si>
  <si>
    <t>(unnamed)</t>
  </si>
  <si>
    <t>— see notes</t>
  </si>
  <si>
    <t>clerk@harrington.city</t>
  </si>
  <si>
    <t>(509) 253-4345</t>
  </si>
  <si>
    <t>harrington.city; MRSC</t>
  </si>
  <si>
    <t>Reardan</t>
  </si>
  <si>
    <t>Small (~600)</t>
  </si>
  <si>
    <t>Tony DeSautel</t>
  </si>
  <si>
    <t>Town Clerk/Treasurer</t>
  </si>
  <si>
    <t>clerk@townofreardan.com</t>
  </si>
  <si>
    <t>(509) 499-5070</t>
  </si>
  <si>
    <t>https://reardanwa.gov/index.asp?SEC=55D012BF-68BF-4417-BD1B-7CDF35B24375</t>
  </si>
  <si>
    <t>$, no email listed</t>
  </si>
  <si>
    <t>Wilbur</t>
  </si>
  <si>
    <t>Small (~800)</t>
  </si>
  <si>
    <t>wilburwa.gov</t>
  </si>
  <si>
    <t>Okanogan</t>
  </si>
  <si>
    <t>Omak</t>
  </si>
  <si>
    <t>Mid (~5k)</t>
  </si>
  <si>
    <t>Wayne Beetchenow</t>
  </si>
  <si>
    <t>publicworks@omakcity.com</t>
  </si>
  <si>
    <t>(509) 826-1170</t>
  </si>
  <si>
    <t>omakcity.com</t>
  </si>
  <si>
    <t>Okanogan (city)</t>
  </si>
  <si>
    <t>Small (~2.5k)</t>
  </si>
  <si>
    <t>Shawn Davisson</t>
  </si>
  <si>
    <t>(509) 422-3600 ext. 17</t>
  </si>
  <si>
    <t>okanogancity.com</t>
  </si>
  <si>
    <t>Brewster</t>
  </si>
  <si>
    <t>Small (~2.4k)</t>
  </si>
  <si>
    <t>Lee Webster</t>
  </si>
  <si>
    <t>Lee.Webster@brewsterwa.us</t>
  </si>
  <si>
    <t>(509) 689-3464</t>
  </si>
  <si>
    <t>(509) 689-3705</t>
  </si>
  <si>
    <t>brewster-wa.com; Rep. Engell legislative update</t>
  </si>
  <si>
    <t>$, department # update &amp; personal email</t>
  </si>
  <si>
    <t>Oroville</t>
  </si>
  <si>
    <t>Steve Thompson</t>
  </si>
  <si>
    <t>City Superintendent</t>
  </si>
  <si>
    <t>PublicWorks@orovillewa.gov</t>
  </si>
  <si>
    <t>(509) 476-2106</t>
  </si>
  <si>
    <t>oroville-wa.com; MRSC</t>
  </si>
  <si>
    <t>Tonasket</t>
  </si>
  <si>
    <t>Darren Johnson</t>
  </si>
  <si>
    <t>City / Public Works Superintendent</t>
  </si>
  <si>
    <t>djohnson.tonasket@nvinet.com</t>
  </si>
  <si>
    <t>(509) 322-7432</t>
  </si>
  <si>
    <t>tonasketwa.gov; MRSC</t>
  </si>
  <si>
    <t>Pateros</t>
  </si>
  <si>
    <t>Jord Wilson</t>
  </si>
  <si>
    <t>City Administrator / Public Works Supervisor</t>
  </si>
  <si>
    <t>jwilson@pateros.us</t>
  </si>
  <si>
    <t>(509) 923-2571</t>
  </si>
  <si>
    <t>pateros.com</t>
  </si>
  <si>
    <t>Twisp</t>
  </si>
  <si>
    <t>Andrew Denham</t>
  </si>
  <si>
    <t>Assistant Public Works Director</t>
  </si>
  <si>
    <t>pwasdirector@townoftwisp.com</t>
  </si>
  <si>
    <t>townoftwisp.com</t>
  </si>
  <si>
    <t>Winthrop</t>
  </si>
  <si>
    <t>Small (~500)</t>
  </si>
  <si>
    <t>jacob@townofwinthrop.com</t>
  </si>
  <si>
    <t>(509) 996-2320 [department #]</t>
  </si>
  <si>
    <t>townofwinthrop.com; MRSC</t>
  </si>
  <si>
    <t>$, no main phone # listed</t>
  </si>
  <si>
    <t>Skamania</t>
  </si>
  <si>
    <t>Skamania County - General Public Works (for unincorporated towns)</t>
  </si>
  <si>
    <t>David Waymire</t>
  </si>
  <si>
    <t>Public Works &amp; Community Development Director</t>
  </si>
  <si>
    <t>publicworks@co.skamania.wa.us</t>
  </si>
  <si>
    <t>(509) 427-3909</t>
  </si>
  <si>
    <t>(509) 427-3910 [department #]</t>
  </si>
  <si>
    <t>https://www.skamaniacounty.org/departments-offices/public-works</t>
  </si>
  <si>
    <t>Stevenson</t>
  </si>
  <si>
    <t>(509) 427-5970 [department #]</t>
  </si>
  <si>
    <t>ci.stevenson.wa.us; council minutes June 2024</t>
  </si>
  <si>
    <t>North Bonneville</t>
  </si>
  <si>
    <t>Small (~1.4k)</t>
  </si>
  <si>
    <t>Bryan Henrichsen</t>
  </si>
  <si>
    <t>bryanh@northbonneville.net</t>
  </si>
  <si>
    <t>541-490-2370</t>
  </si>
  <si>
    <t>https://northbonneville.net/government/</t>
  </si>
  <si>
    <t>Wahkiakum</t>
  </si>
  <si>
    <t>Wahkiakum County - General Public Works (for unincorporated towns)</t>
  </si>
  <si>
    <t>Chuck Beyer</t>
  </si>
  <si>
    <t>360-795-3301</t>
  </si>
  <si>
    <t>https://co.wahkiakum.wa.us/Directory.aspx?DID=23</t>
  </si>
  <si>
    <t>Cathlamet</t>
  </si>
  <si>
    <t>Small (~520)</t>
  </si>
  <si>
    <t>Troy Gorley</t>
  </si>
  <si>
    <t>Utility / Maintenance</t>
  </si>
  <si>
    <t>troy@townofcathlamet.com</t>
  </si>
  <si>
    <t>(360) 795-3203 ext. 3</t>
  </si>
  <si>
    <t>(360) 849-9484</t>
  </si>
  <si>
    <t>townofcathlamet.com</t>
  </si>
  <si>
    <t>Whitman</t>
  </si>
  <si>
    <t>Pullman</t>
  </si>
  <si>
    <t>Large (~33k)</t>
  </si>
  <si>
    <t>Frank Mulcahy</t>
  </si>
  <si>
    <t>(509) 338-3220 [department #]</t>
  </si>
  <si>
    <t>pullman-wa.gov (Dec 2025 announcement)</t>
  </si>
  <si>
    <t>$, no email available</t>
  </si>
  <si>
    <t>Colfax</t>
  </si>
  <si>
    <t>Small (~2.8k)</t>
  </si>
  <si>
    <t>Matt Hammer</t>
  </si>
  <si>
    <t>City Administrator / Public Works Director</t>
  </si>
  <si>
    <t>pwdir@colfaxwa.org</t>
  </si>
  <si>
    <t>(509) 397-4606</t>
  </si>
  <si>
    <t>https://colfaxwa.org/public-works</t>
  </si>
  <si>
    <t>$, phone # updated</t>
  </si>
  <si>
    <t>Palouse</t>
  </si>
  <si>
    <t>Maintenance Supervisor</t>
  </si>
  <si>
    <t>(509) 878-1811</t>
  </si>
  <si>
    <t>(509) 878-1345 days/emergency</t>
  </si>
  <si>
    <t>palousewa.gov</t>
  </si>
  <si>
    <t>Tekoa</t>
  </si>
  <si>
    <t>Steven Thomas</t>
  </si>
  <si>
    <t>Public Work's</t>
  </si>
  <si>
    <t>tekoapublicworksdept@gmail.com</t>
  </si>
  <si>
    <t>(509) 284-3861</t>
  </si>
  <si>
    <t>https://tekoawa.com/public-work-s-department</t>
  </si>
  <si>
    <t>$, name updated</t>
  </si>
  <si>
    <t>Rosalia</t>
  </si>
  <si>
    <t>Small (~650)</t>
  </si>
  <si>
    <t>maintenance@rosaliatown.org</t>
  </si>
  <si>
    <t>townofrosalia.net</t>
  </si>
  <si>
    <t>$, no phone # listed</t>
  </si>
  <si>
    <t>Columbia</t>
  </si>
  <si>
    <t>Garfield</t>
  </si>
  <si>
    <t>Q1</t>
  </si>
  <si>
    <t>Q2</t>
  </si>
  <si>
    <t>Q3</t>
  </si>
  <si>
    <t>Q4</t>
  </si>
  <si>
    <t>Q5</t>
  </si>
  <si>
    <t>Q6</t>
  </si>
  <si>
    <t>Q7</t>
  </si>
  <si>
    <t>Q8</t>
  </si>
  <si>
    <t>1.	Alright, for starters what is your formal title in relation to [city] , [name]?
2.	Do you happen to know the GMA status of your county?
3.	Would you say the population of [city] has grown significantly in the last 10 years?
4.	Does your town sell or provide water to any neighboring towns?
5.	Has your department needed to expand the water infrastructure for your city at any point in the last 10 years?
6.	How does your department raise funds for expansions of water infrastructure? Do you levy any upfront fees, like system development charges or capacity fee charges?
7.	How are those funding methods typically calculated? For instance, do certain factors change how much the customer or developer on your water network pays?
8.	Does your department utilize a GIS tool for your town’s water meters? If so, is this used when calculating fees and bills?
9.	Is there anything you would like to add that you think may be helpful on this matter?</t>
  </si>
  <si>
    <t>Q9</t>
  </si>
  <si>
    <t>Y/N</t>
  </si>
  <si>
    <t>Notes / transcription</t>
  </si>
  <si>
    <t>Questions</t>
  </si>
  <si>
    <t>Called</t>
  </si>
  <si>
    <t>They are also busy and may call back at some point, since you left a voice mail</t>
  </si>
  <si>
    <t>5-11-26 (call back)</t>
  </si>
  <si>
    <t>Public works director, Republic</t>
  </si>
  <si>
    <t>Y</t>
  </si>
  <si>
    <t>1.	Alright, for starters what is your formal title in relation to [city] , [name]?
2.	Do you happen to know the GMA status of your county?
3.	Would you say the population of [Republic] has grown significantly in the last 10 years?
4.	Does your town sell or provide water to any neighboring towns?
5.	Has your department needed to expand the water infrastructure for your city at any point in the last 10 years?
6.	How does your department raise funds for expansions of water infrastructure? Do you levy any upfront fees, like system development charges or capacity fee charges?
7.	How are those funding methods typically calculated? For instance, do certain factors change how much the customer or developer on your water network pays?
8.	Does your department utilize a GIS tool for your town’s water meters? If so, is this used when calculating fees and bills?
9.	Is there anything you would like to add that you think may be helpful on this matter?</t>
  </si>
  <si>
    <t>No</t>
  </si>
  <si>
    <t>N</t>
  </si>
  <si>
    <t>Doesn’t know, new to position. [they are ___]</t>
  </si>
  <si>
    <t>No, using about 60% of capacity</t>
  </si>
  <si>
    <t>unclear</t>
  </si>
  <si>
    <t>Engineering firm, in spokane, they do it. We get charged for their development. County tax vbas, hotel motel tax, typically sewer water rates pay for everything.</t>
  </si>
  <si>
    <t>N/A</t>
  </si>
  <si>
    <t>Just recently got GIS set up. Primarily for locating, no bluetooth meters. Only had it about 8-9 months. Mainly for locatig valves for streets in valves. We pay a monthly, only 3 grand payment, 1300 residence 600 meters. Poorest county in state.</t>
  </si>
  <si>
    <t xml:space="preserve">Been public works director for year in a half 60 with 40 years in construction, think its helped a lot with problem solving skills. 125 year old town, 6-7 years ago case of embezzlment, now we get audited every year. Young mayor, fantastic city clerk. main source of leaks is steel pipes, pumpibng 130m gallons a year, wasting 27%. 6 inch pvc, wasting a lot of money on contractors. </t>
  </si>
  <si>
    <t>Connected</t>
  </si>
  <si>
    <t>All went well, first survey.</t>
  </si>
  <si>
    <t>no latecomers agrement</t>
  </si>
  <si>
    <t>Public works director of Aberdeen</t>
  </si>
  <si>
    <t>[They are ___]</t>
  </si>
  <si>
    <t>not curently, in negotiation to buy / be in same contract as cosmopolis' water system</t>
  </si>
  <si>
    <t>Maybe 500 new ppl, lots of new development though, around 40 new projects</t>
  </si>
  <si>
    <t>Future growth covered completely by rates. About 2,000 acres of timber, town considered a small landowner. Can harvest every other year. We are upgrading roads to support this. Planning on selling and using timber to draw interest which would then go to water, but could be used more generally. They do SDC by meter, its about 35 hundred dollars. Depends on size of meter. No latecomers agreement</t>
  </si>
  <si>
    <t>primarily based on meter size. 6 inch lines for fire dept. , developers pay in full for additional costs associated with fire protection developments if necessary.</t>
  </si>
  <si>
    <t>yes, we use it for location. Havent used for asset valuation yet, but they can. If meter is not used for 6 months, its worth more to take it out. Not an expert on this. AMES software is more for the valuation stuff</t>
  </si>
  <si>
    <t>Went well, second survey</t>
  </si>
  <si>
    <t>Column1</t>
  </si>
  <si>
    <t>9,000 now, were closer to 7,500</t>
  </si>
  <si>
    <t>public works director for Othello</t>
  </si>
  <si>
    <t>developments are responsible for adding infrastructure not us, but we have added 2 new wells.</t>
  </si>
  <si>
    <t>fees for developers are 2% for whatever the infrastructure cost is.</t>
  </si>
  <si>
    <t>These were calculated prior to me, not sure how this was developed. Part of our development fees, (not sure what formal name is for these)</t>
  </si>
  <si>
    <t>third survey</t>
  </si>
  <si>
    <t>249 3939, email: molden@montesano.us</t>
  </si>
  <si>
    <t>Called, emailed</t>
  </si>
  <si>
    <t>mostly to accommodate some development, no water rights expansion, mostly connections</t>
  </si>
  <si>
    <t>non growth management act</t>
  </si>
  <si>
    <t>not gone up much, still around 35 hundred people</t>
  </si>
  <si>
    <t>No other towns, do provide outside of city limits though within where the service area limits extend.</t>
  </si>
  <si>
    <t xml:space="preserve">couple different ways. Contributions to our capital accounts. Connection fees. We seek out grants from state revolving. Try to get as much free money as we can. </t>
  </si>
  <si>
    <t>Was calculated before I took this position. Now we just do yearly increases for inflation. Normally you would figure out operating costs diovided by each connection, then charge that for each new connection. These are capital facility fees</t>
  </si>
  <si>
    <t>Currently in development of GIS. Will use both for billing  and for geographical understanding of the meters</t>
  </si>
  <si>
    <t>Something to take into account in general, most of that expansion is on the developer to cover in terms of fees. If infrastructre isnt there the developer pays. Especially happens in small municipalities.</t>
  </si>
  <si>
    <t>Public works director of Elma</t>
  </si>
  <si>
    <t>fourth done.</t>
  </si>
  <si>
    <t>Emailed</t>
  </si>
  <si>
    <t>** 5-12-26 (COULD NOT LEAVE A VOICEMAIL)</t>
  </si>
  <si>
    <t>Dave Orvis</t>
  </si>
  <si>
    <t>(509)-725-7041</t>
  </si>
  <si>
    <t>mostly farming. We do irrigation.</t>
  </si>
  <si>
    <t>generalized money amount or working in right of way</t>
  </si>
  <si>
    <t>trying to sepearate farming from franchise agreements</t>
  </si>
  <si>
    <t>only water we deal with is irrigation. On a well or a shared well. Wells are privatley owned</t>
  </si>
  <si>
    <t>Case by case on piping size, no rates based on piping size.</t>
  </si>
  <si>
    <t>usually issue around 100 right of way permits, fairly limited. After covid had a lot of people move over here.</t>
  </si>
  <si>
    <t>I deal with county oads pits and quarry, health department deals with this. Budget is around 8 million, mostly do septic</t>
  </si>
  <si>
    <t>70 percent of the land is farm land, very large county, bigger than rhode island or delaware, only around 1,250</t>
  </si>
  <si>
    <t>No industry, limited money in the area.</t>
  </si>
  <si>
    <t>new meters installed in town. Health dept number: 5097251001</t>
  </si>
  <si>
    <t>Public Works director for Davenport</t>
  </si>
  <si>
    <t>?</t>
  </si>
  <si>
    <t>(didn’t ask)</t>
  </si>
  <si>
    <t>Y (kinda)</t>
  </si>
  <si>
    <t>franchising is working with a contractor under contract to do all work within a county right of way, good for 10 years.</t>
  </si>
  <si>
    <t xml:space="preserve">We do not sell water to other towns. </t>
  </si>
  <si>
    <t>This town does not have a utilities system for freshwater in the traditional sense (therefore they never are the ones dealing with infrastructure expansions directly). The health department deals with the Sewage. We do deal with irrigation. We franchise with a utilities / engineering corp. that privately owns the water infrastructure. Franchising is working with a contractor under contract to do all work within a county right of way, good for 10 years.</t>
  </si>
  <si>
    <t>"approaches" piping. Working within the right of way fee, an approach fee. A farmers approach costs less than a house (50 for farmers 100 for residential, 150 for businesses rough numbers)</t>
  </si>
  <si>
    <t>We connect development to the private water network via "approaches" on a case by case basis. Piping size is simply based on what is best for the surrounding area (making sure we arent erroding any roads). We charge a "right of way fee" for new approaches based on the type of development ($50 for farmers $100 for residential, $150 for businesses rough numbers)</t>
  </si>
  <si>
    <t>Had a good amount of people move here for political reasons during and after COVID. usually issue around 100 "right of way"/ "approach" permits a year, which is fairly limited. 70 percent of the land is farm land, very large county, bigger than rhode island or delaware, only around 1,250 people</t>
  </si>
  <si>
    <t>No GIS tool, because there are no meters</t>
  </si>
  <si>
    <t>Survey was not suited to the town's situation. May need to circle back on this county due to how its lack of public utilities district.</t>
  </si>
  <si>
    <t>We use G works for assets, GIS is a part of that too</t>
  </si>
  <si>
    <t>[very short and to the point]</t>
  </si>
  <si>
    <t>Developer driven. Just new connections</t>
  </si>
  <si>
    <t>Developers develop it to our standards then we take it over. We use development fees for commissions, not sure what it is exactly though (between SDCs and CFCs).</t>
  </si>
  <si>
    <t>pending</t>
  </si>
  <si>
    <t>pending status for GMA.</t>
  </si>
  <si>
    <t>Yes.</t>
  </si>
  <si>
    <t>We do service for a small housing development in clark county</t>
  </si>
  <si>
    <t>City of woodland has not done any internal expansion, but residential has  (for connections and water sewage infrastructure). The water main is private, they then relinquish infrastructure to our department. They charge SDCs to new developers, we do not.</t>
  </si>
  <si>
    <t>City does not pay for any of the expansion costs, all developer driven</t>
  </si>
  <si>
    <t xml:space="preserve">We use GIS ezeree. We are looking to update. We just use it informationally, no asset valuation, unless its sewer INI </t>
  </si>
  <si>
    <t>would recommend to look at capital improvement list, what are the current system constraints? Put a denomination next to what projects are most importanmt. Every 5 years we do a third party review for capital improvement projects. FCJ they come in as a third party.</t>
  </si>
  <si>
    <t>(they don’t handle these, so I didn’t ask because its not their jurisdiction in this case)</t>
  </si>
  <si>
    <t>N, N/A</t>
  </si>
  <si>
    <t>5-11-26 call, connected 5-12-26</t>
  </si>
  <si>
    <t>Good</t>
  </si>
  <si>
    <t>went alright, short and to the point</t>
  </si>
  <si>
    <t>publicworks@okanagancity.com</t>
  </si>
  <si>
    <t>5-12-26, may email/ call back</t>
  </si>
  <si>
    <t>city superintendent</t>
  </si>
  <si>
    <t>we are following it but we don’t have to</t>
  </si>
  <si>
    <t>Provide some to the county but not other towns</t>
  </si>
  <si>
    <t>Renewing mainlines. We have a graph that is supposed to run a larger line</t>
  </si>
  <si>
    <t>mainly for geographic understanding, not as much for asset valuation</t>
  </si>
  <si>
    <t>Doesn’t know</t>
  </si>
  <si>
    <t>We charge upront fees (SDC or CFC), Not sure exactly what they are though</t>
  </si>
  <si>
    <t>Short and to the point</t>
  </si>
  <si>
    <t>Water in clarkston is handled by the "utility district" located within Asotin, their number is 509-758-1010 [Bob Sischo]</t>
  </si>
  <si>
    <t>Y, utilities district does</t>
  </si>
  <si>
    <t>No, a couple of subdivisions but nothing major</t>
  </si>
  <si>
    <t>Yes, kind of for asset valuation. Mostly to maintain our system, pressure zones.</t>
  </si>
  <si>
    <t>Klickitat is on the electrical side of things PUD, would be good to talk to.</t>
  </si>
  <si>
    <t xml:space="preserve">Bob Sischo, Director of finance and administration for the public utilities district of Asotin. Handles water utilities for all of the towns &amp; communities in Asotin. </t>
  </si>
  <si>
    <t>Some influx during COVID, nothing significant though in terms of population growth. Large geographic county, population base is well centered in Asotin (city) and Clarkston.</t>
  </si>
  <si>
    <t>Based upon their consumption beyond their alloted amount. Asotin has a water system that gives alloted amounts of water to residents, excess is handled  byt the utilities district.</t>
  </si>
  <si>
    <t>Connection fees are based more consumption, and cost of the connection. What is it costing us in terms of maintence? We arent dealing with capacity or urban sprawl, so our fees can be almost entirely around our cost base and maintenance projections.</t>
  </si>
  <si>
    <t>5-8-26 *(go to tab to see...), connected 5-13-26</t>
  </si>
  <si>
    <t>City superintendent</t>
  </si>
  <si>
    <t>1,000 - 1,100 people</t>
  </si>
  <si>
    <t>No, population stays right where its at. If anything it may have gone down because apple warehouses have shutdown and moved to chelan and wenatchee</t>
  </si>
  <si>
    <t>We do sell to people that are off grid, so they get a water permit and get some amount of water at a time. We don’t sell to any towns or organizations though.</t>
  </si>
  <si>
    <t>No.</t>
  </si>
  <si>
    <t xml:space="preserve">There is a hookup fee. Varies by pipe size. </t>
  </si>
  <si>
    <t>Standard fee for 3 quarter inch, then you pay the difference on if you want a bigger size. Called a Connection Fee.</t>
  </si>
  <si>
    <t>Y (in progress)</t>
  </si>
  <si>
    <t>In the progress of putting something like that together. Probably will be used both for assets and for meters. Used to be hand read meters, now we use radio read which makes GIS necessary.</t>
  </si>
  <si>
    <t>went well.</t>
  </si>
  <si>
    <t>5-13-26 (may email or call back)</t>
  </si>
  <si>
    <t>509-341-4130</t>
  </si>
  <si>
    <t>Cody Rosander, (no longer Carolyn Sourek)</t>
  </si>
  <si>
    <t>(509) 427-5970</t>
  </si>
  <si>
    <t>non-planning</t>
  </si>
  <si>
    <t>I wouldn’t say significantly, only 45 hundered in the full county</t>
  </si>
  <si>
    <t>Only one encoroporated town in the county. Wakiakum , wakikum pud #1 controls all of the water</t>
  </si>
  <si>
    <t xml:space="preserve">we arent involved </t>
  </si>
  <si>
    <t>daniel K is manager. 360- 795-3266</t>
  </si>
  <si>
    <t>Chuck (main, but doesn't do water)</t>
  </si>
  <si>
    <t>Dan Kay is manager. 360- 795-3266</t>
  </si>
  <si>
    <t>Skamania county public utilities district. Both towns manage their own. Gneral water utilities for other communities is the skamnaia county public utilities district. 5094275126. city of bonneville Cody rosander (5094275970). Not sure who to contact for bonneville.</t>
  </si>
  <si>
    <t>superintendent, same as director</t>
  </si>
  <si>
    <t xml:space="preserve">not growth management </t>
  </si>
  <si>
    <t>grown by 3 percent</t>
  </si>
  <si>
    <t>Sell bulk water to wells and people whos water goes dry</t>
  </si>
  <si>
    <t>We are in the process of expanding right now. Expanding by 263 connections last year, working on a second well, and arights for a third well, second well goes in in the summer</t>
  </si>
  <si>
    <t>We use system development charges, we also upped our rate by 12 dollars. For the water distribution we take out loans from federal, we take as many grants as we can, but it’s a small population so hard to get that funding</t>
  </si>
  <si>
    <t>Through ERUs, just ERUs</t>
  </si>
  <si>
    <t>Presently working on that. WE will mostly be using for asset valuation.</t>
  </si>
  <si>
    <t>Jake Gates</t>
  </si>
  <si>
    <t>5-13-26 connected</t>
  </si>
  <si>
    <t>Went well. Make sure to go by Jake not Jacob.</t>
  </si>
  <si>
    <t>509-523-5991.</t>
  </si>
  <si>
    <t>509-523-5991</t>
  </si>
  <si>
    <t>clerk@rosaliatown.org</t>
  </si>
  <si>
    <r>
      <rPr>
        <sz val="10"/>
        <color rgb="FFFF0000"/>
        <rFont val="Arial"/>
        <family val="2"/>
      </rPr>
      <t>Jacob Billington</t>
    </r>
    <r>
      <rPr>
        <sz val="10"/>
        <rFont val="Arial"/>
        <family val="2"/>
      </rPr>
      <t>, Barb Leighton (better contact)</t>
    </r>
  </si>
  <si>
    <t xml:space="preserve">Clerk/Treasurer Barb Leighton is in charge of water utilities billing: </t>
  </si>
  <si>
    <t>5-14-26 (may email or call back)</t>
  </si>
  <si>
    <t>5-14-26, may email/ call back</t>
  </si>
  <si>
    <t>pw@wilburwa.com , deputyclerk@wilburwa.com</t>
  </si>
  <si>
    <t>clerk treasurer, Melissa Bulger</t>
  </si>
  <si>
    <t>Partial planning</t>
  </si>
  <si>
    <t>No. Very minimal growth</t>
  </si>
  <si>
    <t>N.</t>
  </si>
  <si>
    <t>always hooking up new construction, nothing significant though. New units, newconnections, nothing else.</t>
  </si>
  <si>
    <t>We implemented an impact fee. They are specifically to go to future expansoin in water, sewer and streets. Things are starting to get expoensive so they are worth planning for.</t>
  </si>
  <si>
    <t>WE went off of what is similar to the county</t>
  </si>
  <si>
    <t>We do have a GIS system, not sued for basic water metering, mostly used for construction. Never used for asset valuation</t>
  </si>
  <si>
    <t>When I do the budgetting for water, what we are looking at is how expenditures are chantging over the last year. Anything that we can forsee, like gas prices jumping, anything we think will be an impact we try to add that as a thought process for our budget.</t>
  </si>
  <si>
    <r>
      <rPr>
        <sz val="10"/>
        <color rgb="FFFF0000"/>
        <rFont val="Arial"/>
        <family val="2"/>
      </rPr>
      <t>Eric Morris</t>
    </r>
    <r>
      <rPr>
        <sz val="10"/>
        <rFont val="Arial"/>
        <family val="2"/>
      </rPr>
      <t>, Melissa Bulger</t>
    </r>
  </si>
  <si>
    <r>
      <rPr>
        <sz val="10"/>
        <color rgb="FFFF0000"/>
        <rFont val="Arial"/>
        <family val="2"/>
      </rPr>
      <t>Public Works Foreman</t>
    </r>
    <r>
      <rPr>
        <sz val="10"/>
        <rFont val="Arial"/>
        <family val="2"/>
      </rPr>
      <t>, Clerk Treasurer</t>
    </r>
  </si>
  <si>
    <t>(509) 647-5821 (ask for Melissa)</t>
  </si>
  <si>
    <t xml:space="preserve"> (509) 641-2008</t>
  </si>
  <si>
    <t>Called Eric, told me to call alt number (because they do the budgeting not him)</t>
  </si>
  <si>
    <t>went well. Interestingly the only partial planning GMA town that utilizes impact fees</t>
  </si>
  <si>
    <t>***This is significant, they are the only town in a partial planning county that utilizes impact fees out of everyone I called so far (5-14-26)</t>
  </si>
  <si>
    <t>Attempted contact with 40 out of 43 public works directors, so far</t>
  </si>
  <si>
    <t>Over text: "Hey Rowan sorry I missed your call. I got your message. I don’t deal withg the water or sewer. Our PUD has all of that now. You may want to contact them. Have a great rest of your day. Troy Gorley"</t>
  </si>
  <si>
    <t>5-14-26, texted me back</t>
  </si>
  <si>
    <t>^^Cathlamet's sewer and fresh water is now entirely handled by the PUD.</t>
  </si>
  <si>
    <t>5-11-26 contact attempts, 5/18/26 refusal confirmed</t>
  </si>
  <si>
    <t>Not a fit</t>
  </si>
  <si>
    <t>Has declined participation over email. No ball.</t>
  </si>
  <si>
    <r>
      <rPr>
        <sz val="10"/>
        <color rgb="FFFF0000"/>
        <rFont val="Arial"/>
        <family val="2"/>
      </rPr>
      <t>Mike Wolf</t>
    </r>
    <r>
      <rPr>
        <sz val="10"/>
        <rFont val="Arial"/>
        <family val="2"/>
      </rPr>
      <t>, Misty (better contact)</t>
    </r>
  </si>
  <si>
    <t>Misty. Call 11 AM, Monday. Same number</t>
  </si>
  <si>
    <t>no.</t>
  </si>
  <si>
    <t>Not significantly. Nothing over 10 percent or 15 percent. Our infrastructure is old. We cant really put a lot more pressure on it. No anexations.</t>
  </si>
  <si>
    <t>No GIS tool. 2014 we paid for a survey to come in, had them mark where all our water and sewer lines are, but not super accurate.</t>
  </si>
  <si>
    <t>Misty, City administrator of Palouse</t>
  </si>
  <si>
    <t>Doesn’t know GMA status, redoing comprehensive plan.</t>
  </si>
  <si>
    <t>Not expand, just update.</t>
  </si>
  <si>
    <t>Fund upgrades to the existing system through Public works loans, trust fund loans. Big upgrade was in 2022 around $1 million. No upfront fees, no annexation or allotments for development in the last 10 years</t>
  </si>
  <si>
    <t>N ~</t>
  </si>
  <si>
    <t>We are a small town that can't grow.</t>
  </si>
  <si>
    <t>5-14-26, 5-18-26 connected</t>
  </si>
  <si>
    <t>Went well. Town has no plans for expansion, simply doesn’t allow for that contingency</t>
  </si>
  <si>
    <r>
      <rPr>
        <sz val="10"/>
        <color rgb="FFFF0000"/>
        <rFont val="Arial"/>
        <family val="2"/>
      </rPr>
      <t>Mike Dimmick</t>
    </r>
    <r>
      <rPr>
        <sz val="10"/>
        <rFont val="Arial"/>
        <family val="2"/>
      </rPr>
      <t>, Bob Sischo (better contact for the PUD)</t>
    </r>
  </si>
  <si>
    <t>Called, Connected</t>
  </si>
  <si>
    <t>Good survey with the Public utilities district director Bob Sischo (people who actually handle water utiliteis in Asotin, not the public works director in this case.)</t>
  </si>
  <si>
    <t>5-8-26, 5-18-26 (expect email back)</t>
  </si>
  <si>
    <t>5-11-26, 5-18-26 (email back)</t>
  </si>
  <si>
    <t>dmackin@kelso.gov</t>
  </si>
  <si>
    <r>
      <rPr>
        <sz val="10"/>
        <color rgb="FFFF0000"/>
        <rFont val="Arial"/>
        <family val="2"/>
      </rPr>
      <t>Eric Lawrence</t>
    </r>
    <r>
      <rPr>
        <sz val="10"/>
        <rFont val="Arial"/>
        <family val="2"/>
      </rPr>
      <t>, Corrine Schmid</t>
    </r>
  </si>
  <si>
    <r>
      <rPr>
        <sz val="10"/>
        <color rgb="FFFF0000"/>
        <rFont val="Arial"/>
        <family val="2"/>
      </rPr>
      <t>Public Works Superintendent</t>
    </r>
    <r>
      <rPr>
        <sz val="10"/>
        <rFont val="Arial"/>
        <family val="2"/>
      </rPr>
      <t>, Finance director</t>
    </r>
  </si>
  <si>
    <t>Called, emailed (Corrine)</t>
  </si>
  <si>
    <t>ca@ci.westport.wa.us</t>
  </si>
  <si>
    <t>5-12-26, 5-18-26 (email back)</t>
  </si>
  <si>
    <t>5-14-26, 5-18-26 (email back)</t>
  </si>
  <si>
    <t xml:space="preserve">Called, emailed </t>
  </si>
  <si>
    <t>5-13-26, 5-18-26 (email back)</t>
  </si>
  <si>
    <t>cody@ci.stevenson.wa.us</t>
  </si>
  <si>
    <t>Public Works Supervisor</t>
  </si>
  <si>
    <r>
      <rPr>
        <sz val="10"/>
        <color rgb="FFFF0000"/>
        <rFont val="Arial"/>
        <family val="2"/>
      </rPr>
      <t>Chuck Beyer</t>
    </r>
    <r>
      <rPr>
        <sz val="10"/>
        <rFont val="Arial"/>
        <family val="2"/>
      </rPr>
      <t xml:space="preserve"> (doesn’t handle water utils), David K.</t>
    </r>
  </si>
  <si>
    <t>(509) 499-9670</t>
  </si>
  <si>
    <t>one major expansion. Finished it in 2019</t>
  </si>
  <si>
    <t>not required to comply to gma</t>
  </si>
  <si>
    <t>off the top of my head, It was a $7.2 million project, we borrowed 1 million. The rest was through legislative appropriations and grants. No levying of upfront devlopment fees. We are maxed out on developmnet, due to our geography (mountains on one side, water on the other). We only have about 40 acres left for potential development.</t>
  </si>
  <si>
    <t>Yes we use a GIS, we have an asset management program. We have GIS locations on them. We also use a radio read for meters. We have asset management in our Gis, but we don’t really use it for budgetting. We mainly use it as a historical tool to know what happened in the ground</t>
  </si>
  <si>
    <t>[nothing more to add]</t>
  </si>
  <si>
    <t xml:space="preserve">5-13-26, 5-18-26 </t>
  </si>
  <si>
    <t>10 people have come, so no. We have around 600 people total.</t>
  </si>
  <si>
    <t>Jord, City Manager</t>
  </si>
  <si>
    <t>City Manager</t>
  </si>
  <si>
    <t>5-13-26, called both. Emailed Dan K on 5-19-26</t>
  </si>
  <si>
    <r>
      <rPr>
        <sz val="10"/>
        <color rgb="FFFF0000"/>
        <rFont val="Arial"/>
        <family val="2"/>
      </rPr>
      <t>Public Works Director</t>
    </r>
    <r>
      <rPr>
        <sz val="10"/>
        <rFont val="Arial"/>
        <family val="2"/>
      </rPr>
      <t>, PUD General Manager</t>
    </r>
  </si>
  <si>
    <t>David W.</t>
  </si>
  <si>
    <t>Melanie Sharp</t>
  </si>
  <si>
    <t xml:space="preserve">water manager </t>
  </si>
  <si>
    <t>non Gma</t>
  </si>
  <si>
    <t>we only carson and underwood</t>
  </si>
  <si>
    <t>growth is not significant in comparison.</t>
  </si>
  <si>
    <t>yes. Continually expanding. Mostly just new connections</t>
  </si>
  <si>
    <t>service areaa boundary isnt expanding. Upgrades to tatment planst, connection fees.</t>
  </si>
  <si>
    <t>we cost of service analysis, huge number of variables. Calculated based off of grrowth primarily. We use system development fees</t>
  </si>
  <si>
    <t>yes, we use a gis tool for water metering. Used for customer billing in all of our enterprise software system</t>
  </si>
  <si>
    <t>our fees are pretty high. Big variety of SDCs. We do whole electric systm, water is more localized. Stevenson and north boonnevile ddo their own. Skamania landing has their own water system. Rural systems do their own thing. They sometimes hire out contracotrs if they are real small. We are taking a preactive approach for repairs and older things breaking.</t>
  </si>
  <si>
    <r>
      <rPr>
        <sz val="10"/>
        <color rgb="FFFF0000"/>
        <rFont val="Arial"/>
        <family val="2"/>
      </rPr>
      <t>David Waymire</t>
    </r>
    <r>
      <rPr>
        <sz val="10"/>
        <rFont val="Arial"/>
        <family val="2"/>
      </rPr>
      <t>,Melanie Sharp from Skamania PUD</t>
    </r>
  </si>
  <si>
    <r>
      <rPr>
        <sz val="10"/>
        <color rgb="FFFF0000"/>
        <rFont val="Arial"/>
        <family val="2"/>
      </rPr>
      <t>Public Works &amp; Community Development Director</t>
    </r>
    <r>
      <rPr>
        <sz val="10"/>
        <rFont val="Arial"/>
        <family val="2"/>
      </rPr>
      <t xml:space="preserve">, Water manager of Skamania PUD </t>
    </r>
  </si>
  <si>
    <t>Melanie: Wanted to mention another thing. We recorded a public meeting explaining how we do our charges. On webpage: ____</t>
  </si>
  <si>
    <t xml:space="preserve">Connected </t>
  </si>
  <si>
    <t>5-13-26 (connect David), 5-18-26, 5-19-26, 5-20-26 (connect Melanie)</t>
  </si>
  <si>
    <t>5-11-26, 5-18-26, 5-21-26</t>
  </si>
  <si>
    <t>write here after the car interview</t>
  </si>
  <si>
    <t>non gma</t>
  </si>
  <si>
    <t>we have sdcs on sewer, no impact, connection charges on water. SDCs are calculated off of ERUs and connection charges are calculated off of size of connection. So charges for freshwater are based on size, sewer is standardized</t>
  </si>
  <si>
    <t>public works director, as well as asistant city manager</t>
  </si>
  <si>
    <t>not significant growth, about 1 percent average per anum growth</t>
  </si>
  <si>
    <t>we provide water to beacon hill water sewer district, they are a 15 percent owner, their ditribution is tied to ours we charge them for their distribution. We have an agreement with kelso for high well water. We have an inter connect where they can pull water from our system at a retail rate (whenever we have excess).</t>
  </si>
  <si>
    <t>Yes we have, a little more than 10 years ago we switched to ground wells from surface waters. We expanded our sytem to accomodate for that .</t>
  </si>
  <si>
    <t>If its developer driven they pay for it. If its infrastructure investment then we pay it. We issue debt to pay for those large expenses, or we pull from capital reserves.</t>
  </si>
  <si>
    <t>Yes we use a Gis tool. We have an asset management system. Its lucidy, a work order and asset management program (Not gis). As far as our system value, we produce and maintain water and sewer system plans that go into more detail on the value of the system. that is the doc that guides more of our long erm planning.</t>
  </si>
  <si>
    <t>Town</t>
  </si>
  <si>
    <t>Bob Sischo, Director of finance and administration for the public utilities district of Asotin. Handles water utilities for all of the towns &amp; communities in Asotin.</t>
  </si>
  <si>
    <t>We use GIS ezeree. We are looking to update. We just use it informationally, no asset valuation, unless its sewer INI</t>
  </si>
  <si>
    <t>Been public works director for year in a half 60 with 40 years in construction, think its helped a lot with problem solving skills. 125 year old town, 6-7 years ago case of embezzlment, now we get audited every year. Young mayor, fantastic city clerk. main source of leaks is steel pipes, pumpibng 130m gallons a year, wasting 27%. 6 inch pvc, wasting a lot of money on contractors.</t>
  </si>
  <si>
    <t>couple different ways. Contributions to our capital accounts. Connection fees. We seek out grants from state revolving. Try to get as much free money as we can.</t>
  </si>
  <si>
    <t>We do not sell water to other towns.</t>
  </si>
  <si>
    <t>There is a hookup fee. Varies by pipe size.</t>
  </si>
  <si>
    <t>not growth management</t>
  </si>
  <si>
    <t>Skamania County - General Publi</t>
  </si>
  <si>
    <t>water manager</t>
  </si>
  <si>
    <t>Wahkiakum County - General Publ</t>
  </si>
  <si>
    <t xml:space="preserve">Development pays for development approach. If someone require a subdivions, the developer is required to devlop it for us, then they hand it to us. We don’t put up funds or anything like that. SDCs are wrapped into the connection fees, but we arent really building out, so we never have capacity issues, only at 50%. </t>
  </si>
  <si>
    <t>Development pays for development approach. If someone require a subdivions, the developer is required to devlop it for us, then they hand it to us. We don’t put up funds or anything like that. SDCs are wrapped into the connection fees, but we arent really building out, so we never have capacity issues, only at 50%.</t>
  </si>
  <si>
    <t xml:space="preserve">non Gma. We're only managing water for carson and underwood  </t>
  </si>
  <si>
    <t>Q2: Knowledge of GMA status?</t>
  </si>
  <si>
    <t>Q3: Population growth?</t>
  </si>
  <si>
    <t>Q4: Selling water to other towns?</t>
  </si>
  <si>
    <t>Q5: Recent expansion?</t>
  </si>
  <si>
    <t>Q6: How do you raise funds for water infrastructure expansion?</t>
  </si>
  <si>
    <t>Q7: Calculation knowledge?</t>
  </si>
  <si>
    <t>Q8: GIS tool use?</t>
  </si>
  <si>
    <t>Q9: Anything you want to add?</t>
  </si>
  <si>
    <t>We do have a GIS system, not suited for basic water metering, mostly used for construction. Never used for asset valuation</t>
  </si>
  <si>
    <t>No, a couple of subdivisions (multiple connections) but nothing major</t>
  </si>
  <si>
    <t>We are in the process of expanding right now. Expanding by 263 connections last year, working on a second well, and rights for a third well, second well goes in in the summer</t>
  </si>
  <si>
    <t>Y (sewer SDC)</t>
  </si>
  <si>
    <t>Y (fresh water connection fees)</t>
  </si>
  <si>
    <t>Just recently got GIS set up. Primarily for locating, no bluetooth meters. Only had it about 8-9 months. Mainly for locating valves for streets in valves. We pay a monthly, only 3 grand payment, 1300 residence 600 meters. Poorest county in state.</t>
  </si>
  <si>
    <t>Was calculated before I took this position. Now we just do yearly increases for inflation. Normally you would figure out operating costs divided by each connection, then charge that for each new connection. These are capital facility fees</t>
  </si>
  <si>
    <t>We implemented an impact fee. They are specifically to go to future expansion in water, sewer and streets. Things are starting to get expensive so they are worth planning for.</t>
  </si>
  <si>
    <t>We charge upfront fees (SDC or CFC), Not sure exactly what they are though</t>
  </si>
  <si>
    <t>service area boundary isnt expanding. Upgrades to treatment plants, connection fees.</t>
  </si>
  <si>
    <t>primarily based on meter size. 6 inch lines for fire dept., developers pay in full for additional costs associated with fire protection developments if necessary.</t>
  </si>
  <si>
    <t>We went off of what is similar to the county</t>
  </si>
  <si>
    <t>Q1: Name + Job title</t>
  </si>
  <si>
    <t>Cleaned</t>
  </si>
  <si>
    <t>Fact Check (Post-Survey): Actual County GMA status</t>
  </si>
  <si>
    <t>always hooking up new construction, nothing significant though. New units, new connections, nothing else.</t>
  </si>
  <si>
    <t>Q3: Population growth in last 10 years?</t>
  </si>
  <si>
    <t>Partially Planning</t>
  </si>
  <si>
    <t>Pre-growth population (2015, per OFM)</t>
  </si>
  <si>
    <t>Current population (2025, per OFM)</t>
  </si>
  <si>
    <t>Notes / Survey Comparison</t>
  </si>
  <si>
    <t>Survey had 7,500 / 9,000 (close to OFM 7,780 / 9,210)</t>
  </si>
  <si>
    <t>Woodland straddles Cowlitz/Clark; figures are full-city totals</t>
  </si>
  <si>
    <t>Survey had ~3,500 / ~3,500 (2015 was actually 3,135; 2025 is 3,535)</t>
  </si>
  <si>
    <t>Survey had 1,250 for current — incorrect; actual OFM 2025 is 1,720</t>
  </si>
  <si>
    <t>Survey had ~1,100 / ~1,100 — correct as rounded; OFM 1,110 / 1,090</t>
  </si>
  <si>
    <t>Survey had 590 / 600. OFM shows 525 (2015) → 610 (2025). 2015 figure differs due to a state-certified special census</t>
  </si>
  <si>
    <t>Full county population (2015 → 2025)</t>
  </si>
  <si>
    <t>Survey had 45,000 for full county — incorrect by ~10x. OFM: 3,980 (2015) → 4,550 (2025)</t>
  </si>
  <si>
    <t>*Pending</t>
  </si>
  <si>
    <t>*Partially Planning</t>
  </si>
  <si>
    <t>*Ferry County is the only "voluntary GMA" county that later opted out (RCW 36.70A.040(2)(b))</t>
  </si>
  <si>
    <t>Column C — confirms grouping of partially-planning counties in current update cycle</t>
  </si>
  <si>
    <t>https://app.leg.wa.gov/documents/billdocs/2021-22/Htm/Bill%20Reports/Senate/1241-S.E%20SBR%20WM%20OC%2021.htm</t>
  </si>
  <si>
    <t>2021 legislative session</t>
  </si>
  <si>
    <t>Washington State Legislature</t>
  </si>
  <si>
    <t>WA HB 1241 Senate Bill Report (Ways &amp; Means, 2021). Establishes the periodic comprehensive plan update deadlines for the partially-planning counties (June 30, 2027 cycle).</t>
  </si>
  <si>
    <t>Column C — cross-check on the fully-vs.-partially planning framework</t>
  </si>
  <si>
    <t>https://poulsbo.gov/wp-content/uploads/2018/12/PlanninginWAState.pdf</t>
  </si>
  <si>
    <t>Accessed May 25, 2026</t>
  </si>
  <si>
    <t>Washington State Department of Commerce (hosted by City of Poulsbo)</t>
  </si>
  <si>
    <t>"Long Range Planning in Washington State." Department of Commerce overview describing the 18 required + 11 voluntary fully-planning counties (totaling the 28 currently-planning jurisdictions, with the other 11 partially planning).</t>
  </si>
  <si>
    <t>Column C — cross-check on the partially-planning county list</t>
  </si>
  <si>
    <t>https://futurewise.org/about-the-gma/</t>
  </si>
  <si>
    <t>Futurewise</t>
  </si>
  <si>
    <t>"About the GMA." Provides a complete list of the 29 historically fully-planning GMA counties (now 28 after Ferry's opt-out); the 11 counties NOT on this list are by elimination the partially-planning counties.</t>
  </si>
  <si>
    <t>Columns D and E — methodology and statutory authority for OFM's population estimates</t>
  </si>
  <si>
    <t>https://ofm.wa.gov/washington-data-research/population-demographics/population-estimates/april-1-official-population-estimates</t>
  </si>
  <si>
    <t>Washington State Office of Financial Management (OFM)</t>
  </si>
  <si>
    <t>"April 1 official population estimates" — OFM landing page describing the annual population estimates program established under RCW 43.62.020 and RCW 43.62.030.</t>
  </si>
  <si>
    <t>Column E — supporting context for the official 2025 estimates</t>
  </si>
  <si>
    <t>https://ofm.wa.gov/about/news/2025/06/washington-population-growth-slowing</t>
  </si>
  <si>
    <t>June 27, 2025</t>
  </si>
  <si>
    <t>"Washington population growth slowing" — OFM press release accompanying the April 1, 2025 estimates. Reports statewide population of 8,115,100 and provides context for current-decade growth trends.</t>
  </si>
  <si>
    <t>Column E — Current (2025) population for every town in the table</t>
  </si>
  <si>
    <t>https://ofm.wa.gov/wp-content/uploads/sites/default/files/public/dataresearch/pop/april1/ofm_april1_population_final.pdf</t>
  </si>
  <si>
    <t>Released June 27, 2025</t>
  </si>
  <si>
    <t>"April 1, 2025 Population of Cities, Towns and Counties — Used for Allocation of Selected State Revenues." Official April 1, 2025 population estimates per RCW 43.62.030.</t>
  </si>
  <si>
    <t>Column D — Pre-growth (2015) population for every town in the table</t>
  </si>
  <si>
    <t>https://ofm.wa.gov/washington-data-research/population-demographics/population-estimates/historical-estimates-april-1-population-and-housing-state-counties-and-cities</t>
  </si>
  <si>
    <t>September 2015</t>
  </si>
  <si>
    <t>Washington State Office of Financial Management (OFM), Forecasting &amp; Research Division</t>
  </si>
  <si>
    <t>"2015 Population Trends," Table 4: Populations of Cities, Towns and Counties: April 1, 2010, to April 1, 2015. Official April 1, 2015 population estimates for all Washington cities, towns, and counties.</t>
  </si>
  <si>
    <t>Column C — statutory authority underlying GMA categorization</t>
  </si>
  <si>
    <t>https://app.leg.wa.gov/RCW/default.aspx?cite=36.70A</t>
  </si>
  <si>
    <t>Current as of 2026</t>
  </si>
  <si>
    <t>Chapter 36.70A RCW — Growth Management—Planning by Selected Counties and Cities. Statutory basis for the GMA, including RCW 36.70A.040 (thresholds for required planning) and RCW 36.70A.060/.170 (critical areas and resource land requirements applicable to all counties).</t>
  </si>
  <si>
    <t>Column C — explanation of Ferry County's partially-planning status (uniquely, after opt-out)</t>
  </si>
  <si>
    <t>https://mrsc.org/explore-topics/planning/gma/growth-management-act-basics</t>
  </si>
  <si>
    <t>Updated February 25, 2026</t>
  </si>
  <si>
    <t>Municipal Research and Services Center of Washington (MRSC)</t>
  </si>
  <si>
    <t>"Growth Management Act Basics." Notes that Ferry County is the only voluntary GMA county to later opt out of fully planning, under RCW 36.70A.040(2)(b).</t>
  </si>
  <si>
    <t>Column C — corroboration that Whitman is partially planning; framework for fully vs. partially planning distinction</t>
  </si>
  <si>
    <t>https://www.whitmancounty.gov/DocumentCenter/View/10602/Comprehensive-Planning-Under-the-Growth-Management-Act---2025-06-25-PDF</t>
  </si>
  <si>
    <t>June 25, 2025</t>
  </si>
  <si>
    <t>Washington State Department of Commerce (hosted by Whitman County)</t>
  </si>
  <si>
    <t>"Comprehensive Planning under the Growth Management Act" (slide deck). Confirms Whitman County is partially planning; explains regional variation in GMA planning requirements.</t>
  </si>
  <si>
    <t>Column C — GMA status for all 11 counties in the table</t>
  </si>
  <si>
    <t>https://www.yakimacounty.us/DocumentCenter/View/35541/GMA-UPDATE-tab---A-Guide-to-the-Periodic-Update-Process-under-the-GMA</t>
  </si>
  <si>
    <t>Washington State Department of Commerce (hosted by Yakima County)</t>
  </si>
  <si>
    <t>"A Guide to the Periodic Update Process under the Growth Management Act." Explicitly lists the 11 partially-planning counties: Adams, Asotin, Cowlitz, Ferry, Grays Harbor, Klickitat, Lincoln, Okanogan, Skamania, Wahkiakum, and Whitman.</t>
  </si>
  <si>
    <t>Used For</t>
  </si>
  <si>
    <t>URL</t>
  </si>
  <si>
    <t>Date</t>
  </si>
  <si>
    <t>Publisher / Author</t>
  </si>
  <si>
    <t>Citation</t>
  </si>
  <si>
    <t>#</t>
  </si>
  <si>
    <t>All citations support data in the "Fact Checked" sheet. Compiled May 25, 2026.</t>
  </si>
  <si>
    <t>Bibliography — Sources for Fact-Checked Table</t>
  </si>
  <si>
    <t xml:space="preserve">Notes / Transcription [Raw] </t>
  </si>
  <si>
    <t>Important details from secondary interviewee [usually info on who to actually interview instead of them]</t>
  </si>
  <si>
    <t>Additional comments/ notes from interviewee [me]</t>
  </si>
  <si>
    <t>Fact Check Comparison [Post-Survey]</t>
  </si>
  <si>
    <t>Fact Check [Post-Survey]: Actual County GMA status</t>
  </si>
  <si>
    <t>Name of GIS tool, name of separate asset valuation tool</t>
  </si>
  <si>
    <t>Lucidy (asset valuation)</t>
  </si>
  <si>
    <t>AMES (asset valuation)</t>
  </si>
  <si>
    <t>I wouldn’t say significantly, only 45 hundred in the full county</t>
  </si>
  <si>
    <t>Clarkston [Asotin PUD]</t>
  </si>
  <si>
    <t>Skamania County - General Public</t>
  </si>
  <si>
    <t>our fees are pretty high. Big variety of SDCs. We do whole electric systm, water is more localized. Stevenson and north bonnevile ddo their own. Skamania landing has their own water system. Rural systems do their own thing. They sometimes hire out contracotrs if they are real small. We are taking a preactive approach for repairs and older things breaking.</t>
  </si>
  <si>
    <t>we cost of service analysis, huge number of variables. Calculated based off of growth primarily. We use system development fees</t>
  </si>
  <si>
    <t>5-13-26, 5-18-26 emailed, 5-27-26 connected</t>
  </si>
  <si>
    <t>***</t>
  </si>
  <si>
    <t>yes its grown pretty significantly.</t>
  </si>
  <si>
    <t>Public works director of Stevenson</t>
  </si>
  <si>
    <t>Found old census, still didn’t really understand what is meant by this. [giving him full wording "Growth management Act" didn’t change that]</t>
  </si>
  <si>
    <t>we have hydrant meters, not necessarily selling to other towns, but ppl can purchase water and we have out of boundary connections. We have some grandfathered in in connections that otherwise wouldnt be allowed today</t>
  </si>
  <si>
    <t>We've done a water main expansion. We replaced it with bigger size pipe. We are currently a surface level facility, with a failing water intake, loosing capacity not directly caused by population or residents. Growth definitely plays an impact into how much we need to produce, we are runing low and doing a lot of engineering work to redo our surface water system. We do have a ground water well, but not used as much. Under bedrock and header system, we seem to have significant damage. we used to pull an unlimiited amount, we seem more restricted to 3 to 4 hundred gallons per minute. This is a problem now with increasing demand, where it didnt used to be.</t>
  </si>
  <si>
    <t>Largly grants and general funds, coming out of the water budget itself. Primarily funded through SDCs and rate payments.</t>
  </si>
  <si>
    <t>I take a look at their health plan, how many water fixtures they have, how far from the mainline they are. Goes through a calculator that abides by the plumbing code. We do a tiered system. For instance a small house will have a fixture count of 18-22, anything below 25 will be our lowest tier SDC. Next tier is 30 fixtures, one tier above that as well (3 residential tiers total). We have a few seperate tiers for commercial as well.</t>
  </si>
  <si>
    <t>We do use Gis for all of our public works assets. We do not use it for asset valuation, mostly material type and location.</t>
  </si>
  <si>
    <t>Edge case</t>
  </si>
  <si>
    <t>G, SDC, rates</t>
  </si>
  <si>
    <t>Y ,water main, sources</t>
  </si>
  <si>
    <t>Y, cost analysis, fixture count</t>
  </si>
  <si>
    <t>Y, N (for asset val)</t>
  </si>
  <si>
    <t>We try to incentivize multi home and commercial development. We are likely going to need to increase our rates within the next year to pay for our network. We raised our SDCs maybe 3-4 years ago. They are already on the higher side. They were pretty cheap before then.</t>
  </si>
  <si>
    <t>Cody Rosander, Public works director of Stevenson</t>
  </si>
  <si>
    <t>Based upon their consumption beyond their alloted amount. Asotin has a water system that gives alloted amounts of water to residents, excess is handled by the utilities district.</t>
  </si>
  <si>
    <t>not currently, in negotiation to buy / be in same contract as cosmopolis' water system</t>
  </si>
  <si>
    <t>Budget – Source &amp; Year</t>
  </si>
  <si>
    <t>Debt – Source, Water/Sewer Portion &amp; Context</t>
  </si>
  <si>
    <t>EDB_1: Budget &amp; Debt External data</t>
  </si>
  <si>
    <t>FY2024 actual total expenditures, all funds (operating + capital/debt service). Source: WA State Auditor FIT, schedule1AggregationsByGovt (sections 30+35), MCAG 0188. portal.sao.wa.gov/FIT.</t>
  </si>
  <si>
    <t>FY2024 actual total expenditures, all funds (operating + capital/debt service). Source: WA State Auditor FIT, schedule1AggregationsByGovt (sections 30+35), MCAG 0191. portal.sao.wa.gov/FIT.</t>
  </si>
  <si>
    <t>FY2024 actual total expenditures, all funds (operating + capital/debt service). Source: WA State Auditor FIT, schedule1AggregationsByGovt (sections 30+35), MCAG 0197. portal.sao.wa.gov/FIT.</t>
  </si>
  <si>
    <t>FY2024 actual total expenditures, all funds (operating + capital/debt service). Source: WA State Auditor FIT, schedule1AggregationsByGovt (sections 30+35), MCAG 0267. portal.sao.wa.gov/FIT.</t>
  </si>
  <si>
    <t>FY2024 actual total expenditures, all funds (operating + capital/debt service). Source: WA State Auditor FIT, schedule1AggregationsByGovt (sections 30+35), MCAG 0264. portal.sao.wa.gov/FIT.</t>
  </si>
  <si>
    <t>FY2024 actual total expenditures, all funds (operating + capital/debt service). Source: WA State Auditor FIT, schedule1AggregationsByGovt (sections 30+35), MCAG 0260. portal.sao.wa.gov/FIT.</t>
  </si>
  <si>
    <t>FY2024 actual total expenditures, all funds (operating + capital/debt service). Source: WA State Auditor FIT, schedule1AggregationsByGovt (sections 30+35), MCAG 0271. portal.sao.wa.gov/FIT.</t>
  </si>
  <si>
    <t>FY2024 actual total expenditures, all funds (operating + capital/debt service). Source: WA State Auditor FIT, schedule1AggregationsByGovt (sections 30+35), MCAG 0262. portal.sao.wa.gov/FIT.</t>
  </si>
  <si>
    <t>FY2024 actual total expenditures, all funds (operating + capital/debt service). Source: WA State Auditor FIT, schedule1AggregationsByGovt (sections 30+35), MCAG 0284. portal.sao.wa.gov/FIT.</t>
  </si>
  <si>
    <t>FY2024 actual total expenditures, all funds (operating + capital/debt service). Source: WA State Auditor FIT, schedule1AggregationsByGovt (sections 30+35), MCAG 0331. portal.sao.wa.gov/FIT.</t>
  </si>
  <si>
    <t>FY2024 actual total expenditures, all funds (operating + capital/debt service). Source: WA State Auditor FIT, schedule1AggregationsByGovt (sections 30+35), MCAG 0340. portal.sao.wa.gov/FIT.</t>
  </si>
  <si>
    <t>FY2024 actual total expenditures, all funds (operating + capital/debt service). Source: WA State Auditor FIT, schedule1AggregationsByGovt (sections 30+35), MCAG 0352. portal.sao.wa.gov/FIT.</t>
  </si>
  <si>
    <t>FY2024 actual total expenditures, all funds (operating + capital/debt service). Source: WA State Auditor FIT, schedule1AggregationsByGovt (sections 30+35), MCAG 0347. portal.sao.wa.gov/FIT.</t>
  </si>
  <si>
    <t>FY2024 actual total expenditures, all funds (operating + capital/debt service). Source: WA State Auditor FIT, schedule1AggregationsByGovt (sections 30+35), MCAG 0338. portal.sao.wa.gov/FIT.</t>
  </si>
  <si>
    <t>FY2024 actual total expenditures, all funds (operating + capital/debt service). Source: WA State Auditor FIT, schedule1AggregationsByGovt (sections 30+35), MCAG 0355. portal.sao.wa.gov/FIT.</t>
  </si>
  <si>
    <t>FY2024 actual total expenditures, all funds (operating + capital/debt service). Source: WA State Auditor FIT, schedule1AggregationsByGovt (sections 30+35), MCAG 0336. portal.sao.wa.gov/FIT.</t>
  </si>
  <si>
    <t>FY2024 actual total expenditures, all funds (operating + capital/debt service). Source: WA State Auditor FIT, schedule1AggregationsByGovt (sections 30+35), MCAG 0479. portal.sao.wa.gov/FIT.</t>
  </si>
  <si>
    <t>FY2024 actual total expenditures, all funds (operating + capital/debt service). Source: WA State Auditor FIT, schedule1AggregationsByGovt (sections 30+35), MCAG 0481. portal.sao.wa.gov/FIT.</t>
  </si>
  <si>
    <t>FY2024 actual total expenditures, all funds (operating + capital/debt service). Source: WA State Auditor FIT, schedule1AggregationsByGovt (sections 30+35), MCAG 0477. portal.sao.wa.gov/FIT.</t>
  </si>
  <si>
    <t>FY2024 actual total expenditures, all funds (operating + capital/debt service). Source: WA State Auditor FIT, schedule1AggregationsByGovt (sections 30+35), MCAG 0508. portal.sao.wa.gov/FIT.</t>
  </si>
  <si>
    <t>FY2024 actual total expenditures, all funds (operating + capital/debt service). Source: WA State Auditor FIT, schedule1AggregationsByGovt (sections 30+35), MCAG 0512. portal.sao.wa.gov/FIT.</t>
  </si>
  <si>
    <t>FY2024 actual total expenditures, all funds (operating + capital/debt service). Source: WA State Auditor FIT, schedule1AggregationsByGovt (sections 30+35), MCAG 0510. portal.sao.wa.gov/FIT.</t>
  </si>
  <si>
    <t>FY2024 actual total expenditures, all funds (operating + capital/debt service). Source: WA State Auditor FIT, schedule1AggregationsByGovt (sections 30+35), MCAG 0514. portal.sao.wa.gov/FIT.</t>
  </si>
  <si>
    <t>FY2024 actual total expenditures, all funds (operating + capital/debt service). Source: WA State Auditor FIT, schedule1AggregationsByGovt (sections 30+35), MCAG 0518. portal.sao.wa.gov/FIT.</t>
  </si>
  <si>
    <t>FY2024 actual total expenditures, all funds (operating + capital/debt service). Source: WA State Auditor FIT, schedule1AggregationsByGovt (sections 30+35), MCAG 0533. portal.sao.wa.gov/FIT.</t>
  </si>
  <si>
    <t>FY2024 actual total expenditures, all funds (operating + capital/debt service). Source: WA State Auditor FIT, schedule1AggregationsByGovt (sections 30+35), MCAG 0531. portal.sao.wa.gov/FIT.</t>
  </si>
  <si>
    <t>FY2024 actual total expenditures, all funds (operating + capital/debt service). Source: WA State Auditor FIT, schedule1AggregationsByGovt (sections 30+35), MCAG 0523. portal.sao.wa.gov/FIT.</t>
  </si>
  <si>
    <t>FY2024 actual total expenditures, all funds (operating + capital/debt service). Source: WA State Auditor FIT, schedule1AggregationsByGovt (sections 30+35), MCAG 0535. portal.sao.wa.gov/FIT.</t>
  </si>
  <si>
    <t>FY2024 actual total expenditures, all funds (operating + capital/debt service). Source: WA State Auditor FIT, schedule1AggregationsByGovt (sections 30+35), MCAG 0541. portal.sao.wa.gov/FIT.</t>
  </si>
  <si>
    <t>FY2024 actual total expenditures, all funds (operating + capital/debt service). Source: WA State Auditor FIT, schedule1AggregationsByGovt (sections 30+35), MCAG 0537. portal.sao.wa.gov/FIT.</t>
  </si>
  <si>
    <t>FY2024 actual total expenditures, all funds (operating + capital/debt service). Source: WA State Auditor FIT, schedule1AggregationsByGovt (sections 30+35), MCAG 0543. portal.sao.wa.gov/FIT.</t>
  </si>
  <si>
    <t>FY2024 actual total expenditures, all funds (operating + capital/debt service). Source: WA State Auditor FIT, schedule1AggregationsByGovt (sections 30+35), MCAG 0545. portal.sao.wa.gov/FIT.</t>
  </si>
  <si>
    <t>FIGURES ARE FOR Public Utility District No. 1 of Skamania County (MCAG 1798), the county's utility provider (per request). FY2024 total expenditures, all funds (FIT, sections 30+35).</t>
  </si>
  <si>
    <t>FY2024 actual total expenditures, all funds (operating + capital/debt service). Source: WA State Auditor FIT, schedule1AggregationsByGovt (sections 30+35), MCAG 0652. portal.sao.wa.gov/FIT.</t>
  </si>
  <si>
    <t>FY2024 actual total expenditures, all funds (operating + capital/debt service). Source: WA State Auditor FIT, schedule1AggregationsByGovt (sections 30+35), MCAG 0650. portal.sao.wa.gov/FIT.</t>
  </si>
  <si>
    <t>FIGURES ARE FOR Public Utility District No. 1 of Wahkiakum County (MCAG 1804), the county's utility provider (per request). FY2024 total expenditures, all funds (FIT, sections 30+35).</t>
  </si>
  <si>
    <t>FY2024 actual total expenditures, all funds (operating + capital/debt service). Source: WA State Auditor FIT, schedule1AggregationsByGovt (sections 30+35), MCAG 0764. portal.sao.wa.gov/FIT.</t>
  </si>
  <si>
    <t>FY2024 actual total expenditures, all funds (operating + capital/debt service). Source: WA State Auditor FIT, schedule1AggregationsByGovt (sections 30+35), MCAG 0820. portal.sao.wa.gov/FIT.</t>
  </si>
  <si>
    <t>FY2024 actual total expenditures, all funds (operating + capital/debt service). Source: WA State Auditor FIT, schedule1AggregationsByGovt (sections 30+35), MCAG 0799. portal.sao.wa.gov/FIT.</t>
  </si>
  <si>
    <t>FY2024 actual total expenditures, all funds (operating + capital/debt service). Source: WA State Auditor FIT, schedule1AggregationsByGovt (sections 30+35), MCAG 0818. portal.sao.wa.gov/FIT.</t>
  </si>
  <si>
    <t>FY2023 actual total expenditures, all funds (operating + capital/debt service). Source: WA State Auditor FIT, schedule1AggregationsByGovt (sections 30+35), MCAG 0827. portal.sao.wa.gov/FIT.</t>
  </si>
  <si>
    <t>FY2024 actual total expenditures, all funds (operating + capital/debt service). Source: WA State Auditor FIT, schedule1AggregationsByGovt (sections 30+35), MCAG 0823. portal.sao.wa.gov/FIT.</t>
  </si>
  <si>
    <t>FY2024 Schedule 09 via SAO FIT API (Snapshots/Schedule9s, MCAG 0188).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~$2,427,269 [REGEX/KEYWORD — IMPRECISE: matched on debt-description text only (no fund tag in FIT); approximate].</t>
  </si>
  <si>
    <t>FY2024 Schedule 09 via SAO FIT API (Snapshots/Schedule9s, MCAG 0191).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~$2,098,924 [REGEX/KEYWORD — IMPRECISE: matched on debt-description text only (no fund tag in FIT); approximate].</t>
  </si>
  <si>
    <t>FY2024 Schedule 09 via SAO FIT API (Snapshots/Schedule9s, MCAG 0197).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none identifiable by keyword (may be $0, generically labeled, or held by a separate entity) [REGEX/KEYWORD — IMPRECISE]. W/S keyword=$0: water supplied by Asotin County PUD No.1 (separate entity).</t>
  </si>
  <si>
    <t>FY2024 Schedule 09 via SAO FIT API (Snapshots/Schedule9s, MCAG 0267).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none identifiable by keyword (may be $0, generically labeled, or held by a separate entity) [REGEX/KEYWORD — IMPRECISE]. W/S keyword=$0: city co-owns Mint Farm Regional WTP w/ Beacon Hill W&amp;S District; water debt largely on the regional entity. Verify in ACFR.</t>
  </si>
  <si>
    <t>FY2024 Schedule 09 via SAO FIT API (Snapshots/Schedule9s, MCAG 0264).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~$2,819,084 [REGEX/KEYWORD — IMPRECISE: matched on debt-description text only (no fund tag in FIT); approximate].</t>
  </si>
  <si>
    <t>FY2024 Schedule 09 via SAO FIT API (Snapshots/Schedule9s, MCAG 0260).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~$286,841 [REGEX/KEYWORD — IMPRECISE: matched on debt-description text only (no fund tag in FIT); approximate].</t>
  </si>
  <si>
    <t>FY2024 Schedule 09 via SAO FIT API (Snapshots/Schedule9s, MCAG 0271).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~$294,582 [REGEX/KEYWORD — IMPRECISE: matched on debt-description text only (no fund tag in FIT); approximate].</t>
  </si>
  <si>
    <t>FY2024 Schedule 09 via SAO FIT API (Snapshots/Schedule9s, MCAG 0262).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~$1,177,934 [REGEX/KEYWORD — IMPRECISE: matched on debt-description text only (no fund tag in FIT); approximate].</t>
  </si>
  <si>
    <t>FY2024 Schedule 09 via SAO FIT API (Snapshots/Schedule9s, MCAG 0284).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~$297,105 [REGEX/KEYWORD — IMPRECISE: matched on debt-description text only (no fund tag in FIT); approximate].</t>
  </si>
  <si>
    <t>FY2024 Schedule 09 via SAO FIT API (Snapshots/Schedule9s, MCAG 0331).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~$9,764,209 [REGEX/KEYWORD — IMPRECISE: matched on debt-description text only (no fund tag in FIT); approximate]. Debt overwhelmingly water/sewer (8-&gt;12 MGD Water Reclamation Plant + WWTP/reservoir DOE/DOH loans).</t>
  </si>
  <si>
    <t>FY2024 Schedule 09 via SAO FIT API (Snapshots/Schedule9s, MCAG 0340).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~$11,630,621 [REGEX/KEYWORD — IMPRECISE: matched on debt-description text only (no fund tag in FIT); approximate].</t>
  </si>
  <si>
    <t>FY2024 Schedule 09 via SAO FIT API (Snapshots/Schedule9s, MCAG 0352).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~$1,298,157 [REGEX/KEYWORD — IMPRECISE: matched on debt-description text only (no fund tag in FIT); approximate].</t>
  </si>
  <si>
    <t>FY2024 Schedule 09 via SAO FIT API (Snapshots/Schedule9s, MCAG 0347).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~$78,947 [REGEX/KEYWORD — IMPRECISE: matched on debt-description text only (no fund tag in FIT); approximate].</t>
  </si>
  <si>
    <t>FY2024 Schedule 09 via SAO FIT API (Snapshots/Schedule9s, MCAG 0338).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none identifiable by keyword (may be $0, generically labeled, or held by a separate entity) [REGEX/KEYWORD — IMPRECISE].</t>
  </si>
  <si>
    <t>FY2024 Schedule 09 via SAO FIT API (Snapshots/Schedule9s, MCAG 0355).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~$5,368,311 [REGEX/KEYWORD — IMPRECISE: matched on debt-description text only (no fund tag in FIT); approximate].</t>
  </si>
  <si>
    <t>FY2024 Schedule 09 via SAO FIT API (Snapshots/Schedule9s, MCAG 0336).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~$349,428 [REGEX/KEYWORD — IMPRECISE: matched on debt-description text only (no fund tag in FIT); approximate].</t>
  </si>
  <si>
    <t>FY2024 Schedule 09 via SAO FIT API (Snapshots/Schedule9s, MCAG 0479).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~$5,593,718 [REGEX/KEYWORD — IMPRECISE: matched on debt-description text only (no fund tag in FIT); approximate].</t>
  </si>
  <si>
    <t>FY2024 Schedule 09 via SAO FIT API (Snapshots/Schedule9s, MCAG 0481).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~$929,624 [REGEX/KEYWORD — IMPRECISE: matched on debt-description text only (no fund tag in FIT); approximate]. $6M DWSRF loan (Contract DWL31566-0) for Transmission Main Phase 2B.</t>
  </si>
  <si>
    <t>FY2024 Schedule 09 via SAO FIT API (Snapshots/Schedule9s, MCAG 0477).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~$4,934,844 [REGEX/KEYWORD — IMPRECISE: matched on debt-description text only (no fund tag in FIT); approximate].</t>
  </si>
  <si>
    <t>FY2024 Schedule 09 via SAO FIT API (Snapshots/Schedule9s, MCAG 0508).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none identifiable by keyword (may be $0, generically labeled, or held by a separate entity) [REGEX/KEYWORD — IMPRECISE].</t>
  </si>
  <si>
    <t>FY2024 Schedule 09 via SAO FIT API (Snapshots/Schedule9s, MCAG 0512).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~$476,275 [REGEX/KEYWORD — IMPRECISE: matched on debt-description text only (no fund tag in FIT); approximate].</t>
  </si>
  <si>
    <t>FY2024 Schedule 09 via SAO FIT API (Snapshots/Schedule9s, MCAG 0510).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none identifiable by keyword (may be $0, generically labeled, or held by a separate entity) [REGEX/KEYWORD — IMPRECISE].</t>
  </si>
  <si>
    <t>FY2024 Schedule 09 via SAO FIT API (Snapshots/Schedule9s, MCAG 0514).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none identifiable by keyword (may be $0, generically labeled, or held by a separate entity) [REGEX/KEYWORD — IMPRECISE].</t>
  </si>
  <si>
    <t>FY2024 Schedule 09 via SAO FIT API (Snapshots/Schedule9s, MCAG 0518).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none identifiable by keyword (may be $0, generically labeled, or held by a separate entity) [REGEX/KEYWORD — IMPRECISE].</t>
  </si>
  <si>
    <t>FY2024 Schedule 09 via SAO FIT API (Snapshots/Schedule9s, MCAG 0533).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~$1,970,301 [REGEX/KEYWORD — IMPRECISE: matched on debt-description text only (no fund tag in FIT); approximate].</t>
  </si>
  <si>
    <t>FY2024 Schedule 09 via SAO FIT API (Snapshots/Schedule9s, MCAG 0531).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~$947,727 [REGEX/KEYWORD — IMPRECISE: matched on debt-description text only (no fund tag in FIT); approximate].</t>
  </si>
  <si>
    <t>FY2024 Schedule 09 via SAO FIT API (Snapshots/Schedule9s, MCAG 0523).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~$806,343 [REGEX/KEYWORD — IMPRECISE: matched on debt-description text only (no fund tag in FIT); approximate].</t>
  </si>
  <si>
    <t>FY2024 Schedule 09 via SAO FIT API (Snapshots/Schedule9s, MCAG 0535).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none identifiable by keyword (may be $0, generically labeled, or held by a separate entity) [REGEX/KEYWORD — IMPRECISE].</t>
  </si>
  <si>
    <t>FY2024 Schedule 09 via SAO FIT API (Snapshots/Schedule9s, MCAG 0541).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~$2,715,727 [REGEX/KEYWORD — IMPRECISE: matched on debt-description text only (no fund tag in FIT); approximate].</t>
  </si>
  <si>
    <t>FY2024 Schedule 09 via SAO FIT API (Snapshots/Schedule9s, MCAG 0537).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~$1,729,798 [REGEX/KEYWORD — IMPRECISE: matched on debt-description text only (no fund tag in FIT); approximate].</t>
  </si>
  <si>
    <t>FY2024 Schedule 09 via SAO FIT API (Snapshots/Schedule9s, MCAG 0543).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~$3,694,016 [REGEX/KEYWORD — IMPRECISE: matched on debt-description text only (no fund tag in FIT); approximate].</t>
  </si>
  <si>
    <t>FY2024 Schedule 09 via SAO FIT API (Snapshots/Schedule9s, MCAG 0545).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~$1,402,487 [REGEX/KEYWORD — IMPRECISE: matched on debt-description text only (no fund tag in FIT); approximate].</t>
  </si>
  <si>
    <t>Public Utility District No. 1 of Skamania County FY2024 Schedule 09 via FIT (MCAG 1798). Col E = CALCULATED debt excl. pension/OPEB/comp. absences; Col F = DIRECT filed Schedule 09 total. NOTE: a PUD is PRIMARILY AN ELECTRIC utility — most debt is electric, not water/sewer; not cleanly separable. WATER/SEWER portion ~$3,555,783 [REGEX/KEYWORD — IMPRECISE].</t>
  </si>
  <si>
    <t>FY2024 Schedule 09 via SAO FIT API (Snapshots/Schedule9s, MCAG 0652).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~$10,219,872 [REGEX/KEYWORD — IMPRECISE: matched on debt-description text only (no fund tag in FIT); approximate]. ~$10.3M WWTP build via ~$9.7M Dept of Ecology loan.</t>
  </si>
  <si>
    <t>FY2024 Schedule 09 via SAO FIT API (Snapshots/Schedule9s, MCAG 0650).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~$111,198 [REGEX/KEYWORD — IMPRECISE: matched on debt-description text only (no fund tag in FIT); approximate].</t>
  </si>
  <si>
    <t>Public Utility District No. 1 of Wahkiakum County FY2024 Schedule 09 via FIT (MCAG 1804). Col E = CALCULATED debt excl. pension/OPEB/comp. absences; Col F = DIRECT filed Schedule 09 total. NOTE: a PUD is PRIMARILY AN ELECTRIC utility — most debt is electric, not water/sewer; not cleanly separable. WATER/SEWER portion: none identifiable by keyword [IMPRECISE].</t>
  </si>
  <si>
    <t>FY2024 Schedule 09 via SAO FIT API (Snapshots/Schedule9s, MCAG 0764).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~$4,621,496 [REGEX/KEYWORD — IMPRECISE: matched on debt-description text only (no fund tag in FIT); approximate].</t>
  </si>
  <si>
    <t>FY2024 Schedule 09 via SAO FIT API (Snapshots/Schedule9s, MCAG 0820).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~$2,461,643 [REGEX/KEYWORD — IMPRECISE: matched on debt-description text only (no fund tag in FIT); approximate]. W/S = 'Non Voted Utility Bond A'; Ecology loan now $0.</t>
  </si>
  <si>
    <t>FY2024 Schedule 09 via SAO FIT API (Snapshots/Schedule9s, MCAG 0799).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none identifiable by keyword (may be $0, generically labeled, or held by a separate entity) [REGEX/KEYWORD — IMPRECISE]. Real debt $0: only liabilities were compensated absences (not debt).</t>
  </si>
  <si>
    <t>FY2024 Schedule 09 via SAO FIT API (Snapshots/Schedule9s, MCAG 0818).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~$1,020,899 [REGEX/KEYWORD — IMPRECISE: matched on debt-description text only (no fund tag in FIT); approximate].</t>
  </si>
  <si>
    <t>FY2023 Schedule 09 via SAO FIT API (Snapshots/Schedule9s, MCAG 0827).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~$2,528,928 [REGEX/KEYWORD — IMPRECISE: matched on debt-description text only (no fund tag in FIT); approximate].</t>
  </si>
  <si>
    <t>FY2024 Schedule 09 via SAO FIT API (Snapshots/Schedule9s, MCAG 0823). Col E 'Outstanding Debt' = CALCULATED: total LT principal EXCLUDING pension/OPEB/compensated absences (excluded by debt-type code — reliable). Col F 'Official Total Liabilities' = DIRECT: grand total of the Schedule 09 as filed with SAO (all liabilities incl. pension/OPEB; no pattern matching). WATER/SEWER portion: none identifiable by keyword (may be $0, generically labeled, or held by a separate entity) [REGEX/KEYWORD — IMPRECISE].</t>
  </si>
  <si>
    <t>This town does not have a utilities system for freshwater in the traditional sense (therefore they never are the ones dealing with infrastructure expansions directly). The health department deals with the Sewage. We do deal with irrigation. We franchise with a utilities / engineering corp. that privately owns the water infrastructure. Franchising is working with a contractor under contract to do all work within a county right of way, good for 10 years. THIS TOWN IS AN OUTLIER AND SHOULD BE MARKED AS SUCH.</t>
  </si>
  <si>
    <t>NR</t>
  </si>
  <si>
    <t>(didn’t ask), Not Recorded (NR)</t>
  </si>
  <si>
    <t>If its developer driven they pay for it. If its infrastructure investment then we pay it. We issue debt to pay for those large expenses, or we pull from capital reserves. Connection fee for freshwater only, SDC for sewer only.</t>
  </si>
  <si>
    <t>Response type Key:</t>
  </si>
  <si>
    <t>2014 - 2024 Population Growth % &lt;CM&gt;</t>
  </si>
  <si>
    <t>Pop. growth equal to or above White Salmon's? [10.15] &lt;CM&gt; (Y/N)</t>
  </si>
  <si>
    <t>Knowledge of GMA Status &lt;IR&gt; (Y/N)</t>
  </si>
  <si>
    <t>Did Population grow in the last 10 years? &lt;IR&gt; (Y/N)</t>
  </si>
  <si>
    <t xml:space="preserve"> Selling water to other towns? &lt;IR&gt; (Y/N)</t>
  </si>
  <si>
    <t>Selling to individual customers? &lt;IR&gt; (Y/N)</t>
  </si>
  <si>
    <t>Water Infrastructure expansion within the last 10 years? &lt;IR&gt; (Y/N)</t>
  </si>
  <si>
    <t>A bit more than 10 years ago? &lt;IR&gt; (Y/N)</t>
  </si>
  <si>
    <t>Not Including Connections? &lt;IR&gt; (Y/N)</t>
  </si>
  <si>
    <t>Connections expansion? &lt;IR&gt; (Y/N)</t>
  </si>
  <si>
    <t>Aquifer Storage expansion? &lt;IR&gt; (Y/N)</t>
  </si>
  <si>
    <t>Water Sources expansion? &lt;IR&gt; (Y/N)</t>
  </si>
  <si>
    <t xml:space="preserve"> Water Treatment expansion? &lt;IR&gt; (Y/N)</t>
  </si>
  <si>
    <t>Sewage expansion [not connections]? &lt;IR&gt; (Y/N)</t>
  </si>
  <si>
    <t>Knowledge of funding methodology? &lt;IR&gt; (Y/N)</t>
  </si>
  <si>
    <t>Tax rates [explicit] &lt;IR&gt; (Y/N)</t>
  </si>
  <si>
    <t>Development charge [unsure] &lt;IR&gt; (Y/N)</t>
  </si>
  <si>
    <t>Connection fee &lt;IR&gt; (Y/N)</t>
  </si>
  <si>
    <t>SDC [explicit] &lt;IR&gt; (Y/N)</t>
  </si>
  <si>
    <t>CFC [explicit] &lt;IR&gt; (Y/N)</t>
  </si>
  <si>
    <t>Impact fee [explicit] &lt;IR&gt; (Y/N)</t>
  </si>
  <si>
    <t>Grants? &lt;IR&gt; (Y/N)</t>
  </si>
  <si>
    <t>Knowledge of calculation specifics involved in funding methodology? &lt;IR&gt; (Y/N)</t>
  </si>
  <si>
    <t>Meter size [primarily] &lt;IR&gt; (Y/N)</t>
  </si>
  <si>
    <t>ERUs [primarily] &lt;IR&gt; (Y/N)</t>
  </si>
  <si>
    <t>Grandfathered / inflation adjusted &lt;IR&gt; (Y/N)</t>
  </si>
  <si>
    <t>Overall cost analysis [primarily] &lt;IR&gt; (Y/N)</t>
  </si>
  <si>
    <t>GIS tool use? &lt;IR&gt; (Y/N)</t>
  </si>
  <si>
    <t>For meter location? &lt;IR&gt; (Y/N)</t>
  </si>
  <si>
    <t>For asset valuation &amp; fee calculations? &lt;IR&gt; (Y/N)</t>
  </si>
  <si>
    <t>Separate tool for asset valuation? &lt;IR&gt; (Y/N)</t>
  </si>
  <si>
    <t>Pre-growth population &lt;FI&gt; [2014, per OFM]</t>
  </si>
  <si>
    <t>2024 Population &lt;FI&gt;</t>
  </si>
  <si>
    <t>Total Budget ($)
FY2024 actual total expenditures, all funds &lt;FI&gt;</t>
  </si>
  <si>
    <t>Official Total Liabilities ($)
[DIRECT — official Schedule 09 filed total, all liabilities] &lt;FI&gt;</t>
  </si>
  <si>
    <t>Useful Survey Participation &lt;DI&gt; (Y/N)</t>
  </si>
  <si>
    <t>edge case? Is this qualitatively interesting? &lt;DI&gt; (Y/N)</t>
  </si>
  <si>
    <t>Other/ edge case [explicit] &lt;DI&gt; (Y/N)</t>
  </si>
  <si>
    <t>&lt;FI&gt; = Factual Information</t>
  </si>
  <si>
    <t>&lt;CM&gt; = Calculated Metric</t>
  </si>
  <si>
    <t>&lt;IR&gt; = Interviewee Response</t>
  </si>
  <si>
    <t>&lt;DI&gt; = Data interpretation</t>
  </si>
  <si>
    <t>Median pop grow (all)</t>
  </si>
  <si>
    <t>Median pop grow (sample)</t>
  </si>
  <si>
    <t>Population growth above median? [2.89] &lt;CM&gt; (Y/N)</t>
  </si>
  <si>
    <t>2024 Population Greater than median? &lt;CM&gt; (Y/N)</t>
  </si>
  <si>
    <t>Full Debt per capita &lt;CM&gt;</t>
  </si>
  <si>
    <t>Natural log of Debt &lt;CM&gt;</t>
  </si>
  <si>
    <t>Natural log of Population &lt;CM&gt;</t>
  </si>
  <si>
    <t>Slope</t>
  </si>
  <si>
    <t>Intercept</t>
  </si>
  <si>
    <t>Predicted Debt &lt;CM&gt;</t>
  </si>
  <si>
    <t>Debt to Population regression residuals &lt;CM&gt;</t>
  </si>
  <si>
    <t>Filtered Debt ($) [CALCULATED — keyword filter, including only charges related to water infrastructure ] &lt;FI&gt;</t>
  </si>
  <si>
    <t>Capital &amp; Bonded Debt ($)
[CALCULATED — debt-type filter, excl. pension/OPEB] &lt;FI&gt;</t>
  </si>
  <si>
    <t>Capital &amp; Bonded Debt per capita &lt;CM&gt;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</si>
</sst>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7" x14ac:knownFonts="1">
    <font>
      <sz val="11"/>
      <color theme="1"/>
      <name val="Calibri"/>
      <family val="2"/>
      <charset val="1"/>
    </font>
    <font>
      <sz val="11"/>
      <color theme="1"/>
      <name val="Calibri"/>
      <family val="2"/>
      <scheme val="minor"/>
    </font>
    <font>
      <b/>
      <sz val="11"/>
      <color rgb="FFFFFFFF"/>
      <name val="Arial"/>
      <family val="2"/>
    </font>
    <font>
      <b/>
      <sz val="10"/>
      <name val="Arial"/>
      <family val="2"/>
    </font>
    <font>
      <sz val="10"/>
      <name val="Arial"/>
      <family val="2"/>
    </font>
    <font>
      <u/>
      <sz val="11"/>
      <color theme="10"/>
      <name val="Calibri"/>
      <family val="2"/>
      <charset val="1"/>
    </font>
    <font>
      <sz val="10"/>
      <name val="Arial"/>
      <family val="2"/>
    </font>
    <font>
      <sz val="10"/>
      <color rgb="FF000000"/>
      <name val="Arial"/>
      <family val="2"/>
    </font>
    <font>
      <sz val="8"/>
      <color rgb="FF000000"/>
      <name val="Arial"/>
      <family val="2"/>
    </font>
    <font>
      <sz val="9"/>
      <color rgb="FF848688"/>
      <name val="Arial"/>
      <family val="2"/>
    </font>
    <font>
      <b/>
      <sz val="11"/>
      <color rgb="FFFFFFFF"/>
      <name val="Arial"/>
      <family val="2"/>
    </font>
    <font>
      <sz val="8"/>
      <name val="Calibri"/>
      <family val="2"/>
      <charset val="1"/>
    </font>
    <font>
      <sz val="10"/>
      <color rgb="FFFF0000"/>
      <name val="Arial"/>
      <family val="2"/>
    </font>
    <font>
      <b/>
      <sz val="10"/>
      <color rgb="FFFFFFFF"/>
      <name val="Arial"/>
      <family val="2"/>
    </font>
    <font>
      <u/>
      <sz val="10"/>
      <color rgb="FF0563C1"/>
      <name val="Arial"/>
      <family val="2"/>
    </font>
    <font>
      <i/>
      <sz val="10"/>
      <color rgb="FF555555"/>
      <name val="Arial"/>
      <family val="2"/>
    </font>
    <font>
      <b/>
      <sz val="14"/>
      <color rgb="FFFFFFFF"/>
      <name val="Arial"/>
      <family val="2"/>
    </font>
  </fonts>
  <fills count="16">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rgb="FFFCE4D6"/>
        <bgColor rgb="FFFFF2CC"/>
      </patternFill>
    </fill>
    <fill>
      <patternFill patternType="solid">
        <fgColor rgb="FFE2EFDA"/>
        <bgColor rgb="FFDDEBF7"/>
      </patternFill>
    </fill>
    <fill>
      <patternFill patternType="solid">
        <fgColor rgb="FFDDEBF7"/>
        <bgColor rgb="FFE2EFDA"/>
      </patternFill>
    </fill>
    <fill>
      <patternFill patternType="solid">
        <fgColor rgb="FFFFFF00"/>
        <bgColor indexed="64"/>
      </patternFill>
    </fill>
    <fill>
      <patternFill patternType="solid">
        <fgColor rgb="FF1F4E79"/>
        <bgColor rgb="FF1F4E79"/>
      </patternFill>
    </fill>
    <fill>
      <patternFill patternType="solid">
        <fgColor rgb="FFE8F5E9"/>
        <bgColor rgb="FFE8F5E9"/>
      </patternFill>
    </fill>
    <fill>
      <patternFill patternType="solid">
        <fgColor rgb="FFD6E4F0"/>
        <bgColor rgb="FFD6E4F0"/>
      </patternFill>
    </fill>
    <fill>
      <patternFill patternType="solid">
        <fgColor rgb="FFEBF5FB"/>
        <bgColor rgb="FFEBF5FB"/>
      </patternFill>
    </fill>
    <fill>
      <patternFill patternType="solid">
        <fgColor theme="5"/>
        <bgColor rgb="FF1F4E79"/>
      </patternFill>
    </fill>
    <fill>
      <patternFill patternType="solid">
        <fgColor rgb="FFF2F2F2"/>
      </patternFill>
    </fill>
    <fill>
      <patternFill patternType="solid">
        <fgColor rgb="FF305496"/>
      </patternFill>
    </fill>
    <fill>
      <patternFill patternType="solid">
        <fgColor rgb="FF1F4E78"/>
      </patternFill>
    </fill>
  </fills>
  <borders count="31">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right style="thin">
        <color theme="4" tint="0.39997558519241921"/>
      </right>
      <top style="thin">
        <color theme="4" tint="0.39997558519241921"/>
      </top>
      <bottom style="thin">
        <color theme="4" tint="0.39997558519241921"/>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style="medium">
        <color indexed="64"/>
      </left>
      <right style="medium">
        <color indexed="64"/>
      </right>
      <top style="thin">
        <color rgb="FFAAAAAA"/>
      </top>
      <bottom style="thin">
        <color rgb="FFAAAAAA"/>
      </bottom>
      <diagonal/>
    </border>
    <border>
      <left style="medium">
        <color indexed="64"/>
      </left>
      <right style="medium">
        <color indexed="64"/>
      </right>
      <top style="thin">
        <color rgb="FFAAAAAA"/>
      </top>
      <bottom style="medium">
        <color indexed="64"/>
      </bottom>
      <diagonal/>
    </border>
    <border>
      <left/>
      <right style="medium">
        <color indexed="64"/>
      </right>
      <top style="medium">
        <color indexed="64"/>
      </top>
      <bottom/>
      <diagonal/>
    </border>
    <border>
      <left style="medium">
        <color indexed="64"/>
      </left>
      <right style="thin">
        <color rgb="FFAAAAAA"/>
      </right>
      <top style="thin">
        <color rgb="FFAAAAAA"/>
      </top>
      <bottom style="thin">
        <color rgb="FFAAAAAA"/>
      </bottom>
      <diagonal/>
    </border>
    <border>
      <left style="thin">
        <color rgb="FFAAAAAA"/>
      </left>
      <right style="medium">
        <color indexed="64"/>
      </right>
      <top style="thin">
        <color rgb="FFAAAAAA"/>
      </top>
      <bottom style="thin">
        <color rgb="FFAAAAAA"/>
      </bottom>
      <diagonal/>
    </border>
    <border>
      <left style="medium">
        <color indexed="64"/>
      </left>
      <right style="thin">
        <color rgb="FFAAAAAA"/>
      </right>
      <top style="thin">
        <color rgb="FFAAAAAA"/>
      </top>
      <bottom style="medium">
        <color indexed="64"/>
      </bottom>
      <diagonal/>
    </border>
    <border>
      <left style="thin">
        <color rgb="FFAAAAAA"/>
      </left>
      <right style="medium">
        <color indexed="64"/>
      </right>
      <top style="thin">
        <color rgb="FFAAAAAA"/>
      </top>
      <bottom style="medium">
        <color indexed="64"/>
      </bottom>
      <diagonal/>
    </border>
    <border>
      <left style="medium">
        <color indexed="64"/>
      </left>
      <right/>
      <top style="medium">
        <color indexed="64"/>
      </top>
      <bottom style="thin">
        <color rgb="FFAAAAAA"/>
      </bottom>
      <diagonal/>
    </border>
    <border>
      <left/>
      <right/>
      <top style="medium">
        <color indexed="64"/>
      </top>
      <bottom style="thin">
        <color rgb="FFAAAAAA"/>
      </bottom>
      <diagonal/>
    </border>
    <border>
      <left/>
      <right style="medium">
        <color indexed="64"/>
      </right>
      <top style="medium">
        <color indexed="64"/>
      </top>
      <bottom style="thin">
        <color rgb="FFAAAAAA"/>
      </bottom>
      <diagonal/>
    </border>
    <border>
      <left style="thin">
        <color rgb="FFAAAAAA"/>
      </left>
      <right style="thin">
        <color rgb="FFAAAAAA"/>
      </right>
      <top style="thin">
        <color rgb="FFAAAAAA"/>
      </top>
      <bottom style="medium">
        <color indexed="64"/>
      </bottom>
      <diagonal/>
    </border>
    <border>
      <left style="thin">
        <color rgb="FFAAAAAA"/>
      </left>
      <right style="thin">
        <color rgb="FFAAAAAA"/>
      </right>
      <top style="thin">
        <color rgb="FFAAAAAA"/>
      </top>
      <bottom/>
      <diagonal/>
    </border>
    <border>
      <left/>
      <right/>
      <top style="thin">
        <color rgb="FFAAAAAA"/>
      </top>
      <bottom style="thin">
        <color rgb="FFAAAAAA"/>
      </bottom>
      <diagonal/>
    </border>
    <border>
      <left/>
      <right style="thin">
        <color rgb="FFAAAAAA"/>
      </right>
      <top style="thin">
        <color rgb="FFAAAAAA"/>
      </top>
      <bottom style="medium">
        <color indexed="64"/>
      </bottom>
      <diagonal/>
    </border>
    <border>
      <left style="thin">
        <color rgb="FFAAAAAA"/>
      </left>
      <right/>
      <top style="thin">
        <color rgb="FFAAAAAA"/>
      </top>
      <bottom style="medium">
        <color indexed="64"/>
      </bottom>
      <diagonal/>
    </border>
    <border>
      <left/>
      <right/>
      <top style="medium">
        <color indexed="64"/>
      </top>
      <bottom/>
      <diagonal/>
    </border>
    <border>
      <left/>
      <right/>
      <top style="thin">
        <color rgb="FFAAAAAA"/>
      </top>
      <bottom style="medium">
        <color indexed="64"/>
      </bottom>
      <diagonal/>
    </border>
    <border>
      <left style="medium">
        <color indexed="64"/>
      </left>
      <right style="medium">
        <color indexed="64"/>
      </right>
      <top style="medium">
        <color indexed="64"/>
      </top>
      <bottom style="thin">
        <color rgb="FFAAAAAA"/>
      </bottom>
      <diagonal/>
    </border>
    <border>
      <left style="thin">
        <color rgb="FFBFBFBF"/>
      </left>
      <right style="thin">
        <color rgb="FFBFBFBF"/>
      </right>
      <top style="thin">
        <color rgb="FFBFBFBF"/>
      </top>
      <bottom style="thin">
        <color rgb="FFBFBFBF"/>
      </bottom>
      <diagonal/>
    </border>
    <border>
      <left/>
      <right style="thin">
        <color rgb="FFAAAAAA"/>
      </right>
      <top style="medium">
        <color indexed="64"/>
      </top>
      <bottom style="thin">
        <color rgb="FFAAAAAA"/>
      </bottom>
      <diagonal/>
    </border>
    <border>
      <left style="medium">
        <color indexed="64"/>
      </left>
      <right/>
      <top style="thin">
        <color rgb="FFAAAAAA"/>
      </top>
      <bottom style="medium">
        <color indexed="64"/>
      </bottom>
      <diagonal/>
    </border>
    <border>
      <left style="medium">
        <color indexed="64"/>
      </left>
      <right style="thin">
        <color rgb="FFCCCCCC"/>
      </right>
      <top style="thin">
        <color rgb="FFCCCCCC"/>
      </top>
      <bottom style="thin">
        <color rgb="FFCCCCCC"/>
      </bottom>
      <diagonal/>
    </border>
    <border>
      <left style="medium">
        <color indexed="64"/>
      </left>
      <right style="thin">
        <color rgb="FFCCCCCC"/>
      </right>
      <top style="thin">
        <color rgb="FFCCCCCC"/>
      </top>
      <bottom style="medium">
        <color indexed="64"/>
      </bottom>
      <diagonal/>
    </border>
    <border>
      <left style="medium">
        <color indexed="64"/>
      </left>
      <right/>
      <top style="thin">
        <color rgb="FFAAAAAA"/>
      </top>
      <bottom style="thin">
        <color rgb="FFAAAAAA"/>
      </bottom>
      <diagonal/>
    </border>
  </borders>
  <cellStyleXfs count="3">
    <xf numFmtId="0" fontId="0" fillId="0" borderId="0"/>
    <xf numFmtId="0" fontId="5" fillId="0" borderId="0"/>
    <xf numFmtId="0" fontId="1" fillId="0" borderId="0"/>
  </cellStyleXfs>
  <cellXfs count="121">
    <xf numFmtId="0" fontId="0" fillId="0" borderId="0" xfId="0"/>
    <xf numFmtId="0" fontId="2" fillId="2" borderId="1" xfId="0" applyFont="1" applyFill="1" applyBorder="1" applyAlignment="1">
      <alignment horizontal="left" vertical="center" wrapText="1"/>
    </xf>
    <xf numFmtId="0" fontId="3"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5" fillId="0" borderId="0" xfId="1"/>
    <xf numFmtId="0" fontId="6" fillId="0" borderId="1" xfId="0" applyFont="1" applyBorder="1" applyAlignment="1">
      <alignment horizontal="left" vertical="top" wrapText="1"/>
    </xf>
    <xf numFmtId="0" fontId="7" fillId="0" borderId="0" xfId="0" applyFont="1"/>
    <xf numFmtId="0" fontId="5" fillId="0" borderId="1" xfId="1" applyBorder="1" applyAlignment="1">
      <alignment horizontal="left" vertical="top" wrapText="1"/>
    </xf>
    <xf numFmtId="0" fontId="8" fillId="0" borderId="0" xfId="0" applyFont="1"/>
    <xf numFmtId="0" fontId="9" fillId="0" borderId="0" xfId="0" applyFont="1"/>
    <xf numFmtId="0" fontId="10" fillId="2" borderId="1" xfId="0" applyFont="1" applyFill="1" applyBorder="1" applyAlignment="1">
      <alignment horizontal="left" vertical="center" wrapText="1"/>
    </xf>
    <xf numFmtId="0" fontId="5" fillId="0" borderId="0" xfId="0" applyFont="1"/>
    <xf numFmtId="0" fontId="5" fillId="0" borderId="1" xfId="0" applyFont="1" applyBorder="1" applyAlignment="1">
      <alignment horizontal="left" vertical="top" wrapText="1"/>
    </xf>
    <xf numFmtId="0" fontId="0" fillId="0" borderId="0" xfId="0" applyAlignment="1">
      <alignment wrapText="1"/>
    </xf>
    <xf numFmtId="0" fontId="0" fillId="7" borderId="0" xfId="0" applyFill="1"/>
    <xf numFmtId="0" fontId="3" fillId="4" borderId="0" xfId="0" applyFont="1" applyFill="1" applyAlignment="1">
      <alignment horizontal="left" vertical="top" wrapText="1"/>
    </xf>
    <xf numFmtId="0" fontId="6" fillId="0" borderId="0" xfId="0" applyFont="1" applyAlignment="1">
      <alignment horizontal="left" vertical="top" wrapText="1"/>
    </xf>
    <xf numFmtId="14" fontId="4" fillId="0" borderId="1" xfId="0" applyNumberFormat="1" applyFont="1" applyBorder="1" applyAlignment="1">
      <alignment horizontal="left" vertical="top" wrapText="1"/>
    </xf>
    <xf numFmtId="0" fontId="4" fillId="0" borderId="2" xfId="0" applyFont="1" applyBorder="1" applyAlignment="1">
      <alignment horizontal="left" vertical="top" wrapText="1"/>
    </xf>
    <xf numFmtId="0" fontId="0" fillId="0" borderId="3" xfId="0" applyBorder="1" applyAlignment="1">
      <alignment wrapText="1"/>
    </xf>
    <xf numFmtId="0" fontId="12" fillId="0" borderId="1" xfId="0" applyFont="1" applyBorder="1" applyAlignment="1">
      <alignment horizontal="left" vertical="top" wrapText="1"/>
    </xf>
    <xf numFmtId="0" fontId="0" fillId="7" borderId="0" xfId="0" applyFill="1" applyAlignment="1">
      <alignment wrapText="1"/>
    </xf>
    <xf numFmtId="0" fontId="4" fillId="7"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5" fillId="7" borderId="0" xfId="1" applyFill="1"/>
    <xf numFmtId="0" fontId="13" fillId="8" borderId="4" xfId="0" applyFont="1" applyFill="1" applyBorder="1" applyAlignment="1">
      <alignment horizontal="center" vertical="center" wrapText="1"/>
    </xf>
    <xf numFmtId="0" fontId="4" fillId="10" borderId="4" xfId="0" applyFont="1" applyFill="1" applyBorder="1" applyAlignment="1">
      <alignment vertical="top" wrapText="1"/>
    </xf>
    <xf numFmtId="0" fontId="4" fillId="11" borderId="4" xfId="0" applyFont="1" applyFill="1" applyBorder="1" applyAlignment="1">
      <alignment vertical="top" wrapText="1"/>
    </xf>
    <xf numFmtId="3" fontId="4" fillId="10" borderId="4" xfId="0" applyNumberFormat="1" applyFont="1" applyFill="1" applyBorder="1" applyAlignment="1">
      <alignment vertical="top" wrapText="1"/>
    </xf>
    <xf numFmtId="0" fontId="3" fillId="9" borderId="6" xfId="0" applyFont="1" applyFill="1" applyBorder="1" applyAlignment="1">
      <alignment horizontal="left" vertical="top" wrapText="1"/>
    </xf>
    <xf numFmtId="0" fontId="13" fillId="8" borderId="5" xfId="0" applyFont="1" applyFill="1" applyBorder="1" applyAlignment="1">
      <alignment horizontal="center" vertical="center" wrapText="1"/>
    </xf>
    <xf numFmtId="0" fontId="4" fillId="10" borderId="5" xfId="0" applyFont="1" applyFill="1" applyBorder="1" applyAlignment="1">
      <alignment horizontal="center" vertical="top"/>
    </xf>
    <xf numFmtId="0" fontId="4" fillId="11" borderId="5" xfId="0" applyFont="1" applyFill="1" applyBorder="1" applyAlignment="1">
      <alignment horizontal="center" vertical="top"/>
    </xf>
    <xf numFmtId="0" fontId="4" fillId="10" borderId="7" xfId="0" applyFont="1" applyFill="1" applyBorder="1" applyAlignment="1">
      <alignment vertical="top" wrapText="1"/>
    </xf>
    <xf numFmtId="0" fontId="4" fillId="11" borderId="7" xfId="0" applyFont="1" applyFill="1" applyBorder="1" applyAlignment="1">
      <alignment vertical="top" wrapText="1"/>
    </xf>
    <xf numFmtId="0" fontId="4" fillId="11" borderId="8" xfId="0" applyFont="1" applyFill="1" applyBorder="1" applyAlignment="1">
      <alignment vertical="top" wrapText="1"/>
    </xf>
    <xf numFmtId="0" fontId="4" fillId="11" borderId="5" xfId="0" applyFont="1" applyFill="1" applyBorder="1" applyAlignment="1">
      <alignment vertical="top" wrapText="1"/>
    </xf>
    <xf numFmtId="0" fontId="13" fillId="8" borderId="10" xfId="0" applyFont="1" applyFill="1" applyBorder="1" applyAlignment="1">
      <alignment horizontal="center" vertical="center" wrapText="1"/>
    </xf>
    <xf numFmtId="0" fontId="13" fillId="8" borderId="11" xfId="0" applyFont="1" applyFill="1" applyBorder="1" applyAlignment="1">
      <alignment horizontal="center" vertical="center" wrapText="1"/>
    </xf>
    <xf numFmtId="0" fontId="4" fillId="10" borderId="10" xfId="0" applyFont="1" applyFill="1" applyBorder="1" applyAlignment="1">
      <alignment horizontal="center" vertical="top"/>
    </xf>
    <xf numFmtId="0" fontId="4" fillId="10" borderId="11" xfId="0" applyFont="1" applyFill="1" applyBorder="1" applyAlignment="1">
      <alignment vertical="top" wrapText="1"/>
    </xf>
    <xf numFmtId="0" fontId="4" fillId="11" borderId="10" xfId="0" applyFont="1" applyFill="1" applyBorder="1" applyAlignment="1">
      <alignment horizontal="center" vertical="top"/>
    </xf>
    <xf numFmtId="0" fontId="4" fillId="11" borderId="11" xfId="0" applyFont="1" applyFill="1" applyBorder="1" applyAlignment="1">
      <alignment vertical="top" wrapText="1"/>
    </xf>
    <xf numFmtId="0" fontId="4" fillId="11" borderId="12" xfId="0" applyFont="1" applyFill="1" applyBorder="1" applyAlignment="1">
      <alignment horizontal="center" vertical="top"/>
    </xf>
    <xf numFmtId="0" fontId="4" fillId="11" borderId="13" xfId="0" applyFont="1" applyFill="1" applyBorder="1" applyAlignment="1">
      <alignment vertical="top" wrapText="1"/>
    </xf>
    <xf numFmtId="3" fontId="4" fillId="10" borderId="11" xfId="0" applyNumberFormat="1" applyFont="1" applyFill="1" applyBorder="1" applyAlignment="1">
      <alignment vertical="top" wrapText="1"/>
    </xf>
    <xf numFmtId="0" fontId="4" fillId="11" borderId="10" xfId="0" applyFont="1" applyFill="1" applyBorder="1" applyAlignment="1">
      <alignment vertical="top" wrapText="1"/>
    </xf>
    <xf numFmtId="0" fontId="4" fillId="11" borderId="17" xfId="0" applyFont="1" applyFill="1" applyBorder="1" applyAlignment="1">
      <alignment vertical="top" wrapText="1"/>
    </xf>
    <xf numFmtId="0" fontId="4" fillId="10" borderId="6" xfId="0" applyFont="1" applyFill="1" applyBorder="1" applyAlignment="1">
      <alignment vertical="top" wrapText="1"/>
    </xf>
    <xf numFmtId="0" fontId="4" fillId="11" borderId="18" xfId="0" applyFont="1" applyFill="1" applyBorder="1" applyAlignment="1">
      <alignment vertical="top" wrapText="1"/>
    </xf>
    <xf numFmtId="0" fontId="4" fillId="11" borderId="20" xfId="0" applyFont="1" applyFill="1" applyBorder="1" applyAlignment="1">
      <alignment horizontal="center" vertical="top"/>
    </xf>
    <xf numFmtId="0" fontId="13" fillId="8" borderId="6" xfId="0" applyFont="1" applyFill="1" applyBorder="1" applyAlignment="1">
      <alignment horizontal="center" vertical="center" wrapText="1"/>
    </xf>
    <xf numFmtId="0" fontId="4" fillId="11" borderId="6" xfId="0" applyFont="1" applyFill="1" applyBorder="1" applyAlignment="1">
      <alignment vertical="top" wrapText="1"/>
    </xf>
    <xf numFmtId="0" fontId="4" fillId="11" borderId="21" xfId="0" applyFont="1" applyFill="1" applyBorder="1" applyAlignment="1">
      <alignment vertical="top" wrapText="1"/>
    </xf>
    <xf numFmtId="0" fontId="4" fillId="10" borderId="5" xfId="0" applyFont="1" applyFill="1" applyBorder="1" applyAlignment="1">
      <alignment horizontal="left" vertical="top" wrapText="1"/>
    </xf>
    <xf numFmtId="0" fontId="4" fillId="11" borderId="19" xfId="0" applyFont="1" applyFill="1" applyBorder="1" applyAlignment="1">
      <alignment horizontal="left" vertical="top" wrapText="1"/>
    </xf>
    <xf numFmtId="0" fontId="4" fillId="10" borderId="19" xfId="0" applyFont="1" applyFill="1" applyBorder="1" applyAlignment="1">
      <alignment horizontal="left" vertical="top" wrapText="1"/>
    </xf>
    <xf numFmtId="0" fontId="4" fillId="11" borderId="5" xfId="0" applyFont="1" applyFill="1" applyBorder="1" applyAlignment="1">
      <alignment horizontal="left" vertical="top" wrapText="1"/>
    </xf>
    <xf numFmtId="0" fontId="4" fillId="11" borderId="23" xfId="0" applyFont="1" applyFill="1" applyBorder="1" applyAlignment="1">
      <alignment horizontal="left" vertical="top" wrapText="1"/>
    </xf>
    <xf numFmtId="0" fontId="13" fillId="12" borderId="4" xfId="0" applyFont="1" applyFill="1" applyBorder="1" applyAlignment="1">
      <alignment horizontal="center" vertical="center" wrapText="1"/>
    </xf>
    <xf numFmtId="0" fontId="2" fillId="8" borderId="24" xfId="0" applyFont="1" applyFill="1" applyBorder="1" applyAlignment="1">
      <alignment horizontal="center" vertical="center"/>
    </xf>
    <xf numFmtId="0" fontId="13" fillId="12" borderId="7" xfId="0" applyFont="1" applyFill="1" applyBorder="1" applyAlignment="1">
      <alignment horizontal="center" vertical="center" wrapText="1"/>
    </xf>
    <xf numFmtId="3" fontId="4" fillId="10" borderId="10" xfId="0" applyNumberFormat="1" applyFont="1" applyFill="1" applyBorder="1" applyAlignment="1">
      <alignment vertical="top" wrapText="1"/>
    </xf>
    <xf numFmtId="0" fontId="4" fillId="10" borderId="10" xfId="0" applyFont="1" applyFill="1" applyBorder="1" applyAlignment="1">
      <alignment vertical="top" wrapText="1"/>
    </xf>
    <xf numFmtId="0" fontId="4" fillId="11" borderId="12" xfId="0" applyFont="1" applyFill="1" applyBorder="1" applyAlignment="1">
      <alignment vertical="top" wrapText="1"/>
    </xf>
    <xf numFmtId="0" fontId="1" fillId="0" borderId="0" xfId="2"/>
    <xf numFmtId="0" fontId="4" fillId="0" borderId="25" xfId="2" applyFont="1" applyBorder="1" applyAlignment="1">
      <alignment horizontal="left" vertical="top" wrapText="1"/>
    </xf>
    <xf numFmtId="0" fontId="14" fillId="0" borderId="25" xfId="2" applyFont="1" applyBorder="1" applyAlignment="1">
      <alignment horizontal="left" vertical="top" wrapText="1"/>
    </xf>
    <xf numFmtId="0" fontId="4" fillId="0" borderId="25" xfId="2" applyFont="1" applyBorder="1" applyAlignment="1">
      <alignment horizontal="center" vertical="top" wrapText="1"/>
    </xf>
    <xf numFmtId="0" fontId="4" fillId="13" borderId="25" xfId="2" applyFont="1" applyFill="1" applyBorder="1" applyAlignment="1">
      <alignment horizontal="left" vertical="top" wrapText="1"/>
    </xf>
    <xf numFmtId="0" fontId="14" fillId="13" borderId="25" xfId="2" applyFont="1" applyFill="1" applyBorder="1" applyAlignment="1">
      <alignment horizontal="left" vertical="top" wrapText="1"/>
    </xf>
    <xf numFmtId="0" fontId="4" fillId="13" borderId="25" xfId="2" applyFont="1" applyFill="1" applyBorder="1" applyAlignment="1">
      <alignment horizontal="center" vertical="top" wrapText="1"/>
    </xf>
    <xf numFmtId="0" fontId="2" fillId="14" borderId="25" xfId="2" applyFont="1" applyFill="1" applyBorder="1" applyAlignment="1">
      <alignment horizontal="center" vertical="center" wrapText="1"/>
    </xf>
    <xf numFmtId="0" fontId="4" fillId="10" borderId="10" xfId="0" applyFont="1" applyFill="1" applyBorder="1" applyAlignment="1">
      <alignment horizontal="left" vertical="top" wrapText="1"/>
    </xf>
    <xf numFmtId="0" fontId="4" fillId="11" borderId="27" xfId="0" applyFont="1" applyFill="1" applyBorder="1" applyAlignment="1">
      <alignment horizontal="left" vertical="top" wrapText="1"/>
    </xf>
    <xf numFmtId="0" fontId="4" fillId="11" borderId="10" xfId="0" applyFont="1" applyFill="1" applyBorder="1" applyAlignment="1">
      <alignment horizontal="left" vertical="top"/>
    </xf>
    <xf numFmtId="3" fontId="4" fillId="10" borderId="6" xfId="0" applyNumberFormat="1" applyFont="1" applyFill="1" applyBorder="1" applyAlignment="1">
      <alignment vertical="top" wrapText="1"/>
    </xf>
    <xf numFmtId="0" fontId="13" fillId="8" borderId="19" xfId="0" applyFont="1" applyFill="1" applyBorder="1" applyAlignment="1">
      <alignment horizontal="center" vertical="center" wrapText="1"/>
    </xf>
    <xf numFmtId="0" fontId="0" fillId="0" borderId="0" xfId="0" quotePrefix="1"/>
    <xf numFmtId="0" fontId="4" fillId="10" borderId="19" xfId="0" applyFont="1" applyFill="1" applyBorder="1" applyAlignment="1">
      <alignment vertical="top" wrapText="1"/>
    </xf>
    <xf numFmtId="0" fontId="4" fillId="11" borderId="19" xfId="0" applyFont="1" applyFill="1" applyBorder="1" applyAlignment="1">
      <alignment vertical="top" wrapText="1"/>
    </xf>
    <xf numFmtId="0" fontId="4" fillId="11" borderId="23" xfId="0" applyFont="1" applyFill="1" applyBorder="1" applyAlignment="1">
      <alignment vertical="top" wrapText="1"/>
    </xf>
    <xf numFmtId="0" fontId="3" fillId="3" borderId="28" xfId="0" applyFont="1" applyFill="1" applyBorder="1" applyAlignment="1">
      <alignment horizontal="left" vertical="top" wrapText="1"/>
    </xf>
    <xf numFmtId="0" fontId="3" fillId="9" borderId="11" xfId="0" applyFont="1" applyFill="1" applyBorder="1" applyAlignment="1">
      <alignment horizontal="left" vertical="top" wrapText="1"/>
    </xf>
    <xf numFmtId="0" fontId="3" fillId="4" borderId="28" xfId="0" applyFont="1" applyFill="1" applyBorder="1" applyAlignment="1">
      <alignment horizontal="left" vertical="top" wrapText="1"/>
    </xf>
    <xf numFmtId="0" fontId="3" fillId="5" borderId="28" xfId="0" applyFont="1" applyFill="1" applyBorder="1" applyAlignment="1">
      <alignment horizontal="left" vertical="top" wrapText="1"/>
    </xf>
    <xf numFmtId="0" fontId="3" fillId="6" borderId="28" xfId="0" applyFont="1" applyFill="1" applyBorder="1" applyAlignment="1">
      <alignment horizontal="left" vertical="top" wrapText="1"/>
    </xf>
    <xf numFmtId="0" fontId="3" fillId="5" borderId="29" xfId="0" applyFont="1" applyFill="1" applyBorder="1" applyAlignment="1">
      <alignment horizontal="left" vertical="top" wrapText="1"/>
    </xf>
    <xf numFmtId="0" fontId="3" fillId="9" borderId="13" xfId="0" applyFont="1" applyFill="1" applyBorder="1" applyAlignment="1">
      <alignment horizontal="left" vertical="top" wrapText="1"/>
    </xf>
    <xf numFmtId="0" fontId="13" fillId="8" borderId="24" xfId="0" applyFont="1" applyFill="1" applyBorder="1" applyAlignment="1">
      <alignment horizontal="center" vertical="center" wrapText="1"/>
    </xf>
    <xf numFmtId="0" fontId="13" fillId="8" borderId="7" xfId="0" applyFont="1" applyFill="1" applyBorder="1" applyAlignment="1">
      <alignment horizontal="center" vertical="center" wrapText="1"/>
    </xf>
    <xf numFmtId="0" fontId="4" fillId="10" borderId="7" xfId="0" applyFont="1" applyFill="1" applyBorder="1" applyAlignment="1">
      <alignment horizontal="left" vertical="top" wrapText="1"/>
    </xf>
    <xf numFmtId="0" fontId="4" fillId="11" borderId="7" xfId="0" applyFont="1" applyFill="1" applyBorder="1" applyAlignment="1">
      <alignment horizontal="left" vertical="top"/>
    </xf>
    <xf numFmtId="0" fontId="4" fillId="11" borderId="8" xfId="0" applyFont="1" applyFill="1" applyBorder="1" applyAlignment="1">
      <alignment horizontal="left" vertical="top" wrapText="1"/>
    </xf>
    <xf numFmtId="0" fontId="13" fillId="8" borderId="30" xfId="0" applyFont="1" applyFill="1" applyBorder="1" applyAlignment="1">
      <alignment horizontal="center" vertical="center" wrapText="1"/>
    </xf>
    <xf numFmtId="0" fontId="4" fillId="10" borderId="30" xfId="0" applyFont="1" applyFill="1" applyBorder="1" applyAlignment="1">
      <alignment vertical="top" wrapText="1"/>
    </xf>
    <xf numFmtId="0" fontId="4" fillId="11" borderId="30" xfId="0" applyFont="1" applyFill="1" applyBorder="1" applyAlignment="1">
      <alignment vertical="top" wrapText="1"/>
    </xf>
    <xf numFmtId="0" fontId="4" fillId="11" borderId="27" xfId="0" applyFont="1" applyFill="1" applyBorder="1" applyAlignment="1">
      <alignment vertical="top" wrapText="1"/>
    </xf>
    <xf numFmtId="0" fontId="4" fillId="10" borderId="6" xfId="0" quotePrefix="1" applyFont="1" applyFill="1" applyBorder="1" applyAlignment="1">
      <alignment vertical="top" wrapText="1"/>
    </xf>
    <xf numFmtId="6" fontId="4" fillId="10" borderId="6" xfId="0" applyNumberFormat="1" applyFont="1" applyFill="1" applyBorder="1" applyAlignment="1">
      <alignment vertical="top" wrapText="1"/>
    </xf>
    <xf numFmtId="6" fontId="4" fillId="11" borderId="6" xfId="0" applyNumberFormat="1" applyFont="1" applyFill="1" applyBorder="1" applyAlignment="1">
      <alignment vertical="top" wrapText="1"/>
    </xf>
    <xf numFmtId="3" fontId="4" fillId="11" borderId="6" xfId="0" applyNumberFormat="1" applyFont="1" applyFill="1" applyBorder="1" applyAlignment="1">
      <alignment vertical="top" wrapText="1"/>
    </xf>
    <xf numFmtId="8" fontId="4" fillId="11" borderId="6" xfId="0" applyNumberFormat="1" applyFont="1" applyFill="1" applyBorder="1" applyAlignment="1">
      <alignment vertical="top" wrapText="1"/>
    </xf>
    <xf numFmtId="6" fontId="4" fillId="11" borderId="21" xfId="0" applyNumberFormat="1" applyFont="1" applyFill="1" applyBorder="1" applyAlignment="1">
      <alignment vertical="top" wrapText="1"/>
    </xf>
    <xf numFmtId="0" fontId="2" fillId="8" borderId="14" xfId="0" applyFont="1" applyFill="1" applyBorder="1" applyAlignment="1">
      <alignment horizontal="center" vertical="center"/>
    </xf>
    <xf numFmtId="0" fontId="0" fillId="0" borderId="15" xfId="0" applyBorder="1"/>
    <xf numFmtId="0" fontId="13" fillId="8" borderId="19" xfId="0" applyFont="1" applyFill="1" applyBorder="1" applyAlignment="1">
      <alignment horizontal="center" vertical="center" wrapText="1"/>
    </xf>
    <xf numFmtId="0" fontId="0" fillId="0" borderId="19" xfId="0" applyBorder="1" applyAlignment="1">
      <alignment horizontal="center" vertical="center" wrapText="1"/>
    </xf>
    <xf numFmtId="0" fontId="0" fillId="0" borderId="16" xfId="0" applyBorder="1"/>
    <xf numFmtId="0" fontId="2" fillId="8" borderId="26" xfId="0" applyFont="1" applyFill="1" applyBorder="1" applyAlignment="1">
      <alignment horizontal="center" vertical="center"/>
    </xf>
    <xf numFmtId="0" fontId="2" fillId="8" borderId="22" xfId="0" applyFont="1" applyFill="1" applyBorder="1" applyAlignment="1">
      <alignment horizontal="center" vertical="center"/>
    </xf>
    <xf numFmtId="0" fontId="0" fillId="0" borderId="9" xfId="0" applyBorder="1"/>
    <xf numFmtId="0" fontId="13" fillId="8" borderId="14" xfId="0" applyFont="1" applyFill="1" applyBorder="1" applyAlignment="1">
      <alignment horizontal="center" vertical="center" wrapText="1"/>
    </xf>
    <xf numFmtId="0" fontId="0" fillId="0" borderId="16" xfId="0" applyBorder="1" applyAlignment="1">
      <alignment horizontal="center" vertical="center" wrapText="1"/>
    </xf>
    <xf numFmtId="0" fontId="15" fillId="0" borderId="0" xfId="2" applyFont="1" applyAlignment="1">
      <alignment horizontal="left" vertical="center"/>
    </xf>
    <xf numFmtId="0" fontId="1" fillId="0" borderId="0" xfId="2"/>
    <xf numFmtId="0" fontId="16" fillId="15" borderId="0" xfId="2" applyFont="1" applyFill="1" applyAlignment="1">
      <alignment horizontal="left" vertical="center"/>
    </xf>
    <xf numFmtId="0" fontId="0" fillId="0" borderId="0" xfId="0" applyAlignment="1">
      <alignment wrapText="1"/>
    </xf>
  </cellXfs>
  <cellStyles count="3">
    <cellStyle name="Hyperlink" xfId="1" builtinId="8"/>
    <cellStyle name="Normal" xfId="0" builtinId="0"/>
    <cellStyle name="Normal 2" xfId="2" xr:uid="{BB5976A2-3AD0-498F-B28E-B97C37DC5509}"/>
  </cellStyles>
  <dxfs count="181">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trike val="0"/>
        <condense val="0"/>
        <extend val="0"/>
        <outline val="0"/>
        <shadow val="0"/>
        <vertAlign val="baseline"/>
        <sz val="10"/>
        <color auto="1"/>
        <name val="Arial"/>
        <charset val="1"/>
      </font>
      <alignment horizontal="left" vertical="top" wrapText="1"/>
      <border>
        <left style="thin">
          <color rgb="FFCCCCCC"/>
        </left>
        <right style="thin">
          <color rgb="FFCCCCCC"/>
        </right>
        <top style="thin">
          <color rgb="FFCCCCCC"/>
        </top>
        <bottom style="thin">
          <color rgb="FFCCCCCC"/>
        </bottom>
        <vertical/>
        <horizontal/>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actsTable" displayName="ContactsTable" ref="A1:O43" totalsRowShown="0">
  <autoFilter ref="A1:O43" xr:uid="{00000000-0009-0000-0100-000001000000}"/>
  <tableColumns count="15">
    <tableColumn id="1" xr3:uid="{00000000-0010-0000-0000-000001000000}" name="County"/>
    <tableColumn id="2" xr3:uid="{00000000-0010-0000-0000-000002000000}" name="City/Town"/>
    <tableColumn id="3" xr3:uid="{00000000-0010-0000-0000-000003000000}" name="Pop. tier"/>
    <tableColumn id="4" xr3:uid="{00000000-0010-0000-0000-000004000000}" name="Contact Name"/>
    <tableColumn id="5" xr3:uid="{00000000-0010-0000-0000-000005000000}" name="Title"/>
    <tableColumn id="6" xr3:uid="{00000000-0010-0000-0000-000006000000}" name="Email"/>
    <tableColumn id="7" xr3:uid="{00000000-0010-0000-0000-000007000000}" name="Phone"/>
    <tableColumn id="8" xr3:uid="{00000000-0010-0000-0000-000008000000}" name="Alt Phone"/>
    <tableColumn id="9" xr3:uid="{00000000-0010-0000-0000-000009000000}" name="Website/Source"/>
    <tableColumn id="16" xr3:uid="{00000000-0010-0000-0000-000010000000}" name="Cross-reference" dataDxfId="180"/>
    <tableColumn id="10" xr3:uid="{00000000-0010-0000-0000-00000A000000}" name="Outreach Status"/>
    <tableColumn id="11" xr3:uid="{00000000-0010-0000-0000-00000B000000}" name="Date Contacted"/>
    <tableColumn id="12" xr3:uid="{00000000-0010-0000-0000-00000C000000}" name="Follow-up Date"/>
    <tableColumn id="13" xr3:uid="{00000000-0010-0000-0000-00000D000000}" name="Notes"/>
    <tableColumn id="14" xr3:uid="{9ECF330B-2290-4BED-8E2E-13CFE2E014CE}" name="Column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686670F-8E5A-4C6B-8CC5-CF031E8575DD}" name="Table2445" displayName="Table2445" ref="A22:C31" totalsRowShown="0" dataDxfId="179">
  <autoFilter ref="A22:C31" xr:uid="{2686670F-8E5A-4C6B-8CC5-CF031E8575DD}"/>
  <tableColumns count="3">
    <tableColumn id="1" xr3:uid="{7EEB9B4B-6EAD-4EC9-BFF0-E3090D885C05}" name="Questions" dataDxfId="178"/>
    <tableColumn id="2" xr3:uid="{6787F452-C9D1-4B92-8E5B-523190B3B503}" name="Y/N" dataDxfId="177"/>
    <tableColumn id="3" xr3:uid="{6868320A-5AED-4CD9-A345-D90FE1060487}" name="Notes / transcription" dataDxfId="17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F80A3F-626F-4471-A705-0C67E1D0476D}" name="Table24" displayName="Table24" ref="A22:C31" totalsRowShown="0" dataDxfId="175">
  <autoFilter ref="A22:C31" xr:uid="{20F80A3F-626F-4471-A705-0C67E1D0476D}"/>
  <tableColumns count="3">
    <tableColumn id="1" xr3:uid="{D8BA54C9-72F8-4BB9-9D93-C421524D059E}" name="Questions" dataDxfId="174"/>
    <tableColumn id="2" xr3:uid="{487847BE-9890-458C-AA53-A410252CD4F2}" name="Y/N" dataDxfId="173"/>
    <tableColumn id="3" xr3:uid="{DF6F06D4-D3DD-4AF8-9A49-180584F5C5CB}" name="Notes / transcription" dataDxfId="17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EBD9E2F-5C78-482D-8783-B49304FD8A16}" name="Table2446" displayName="Table2446" ref="A26:D35" totalsRowShown="0" dataDxfId="171">
  <autoFilter ref="A26:D35" xr:uid="{0EBD9E2F-5C78-482D-8783-B49304FD8A16}"/>
  <tableColumns count="4">
    <tableColumn id="1" xr3:uid="{FF66A8DA-846A-49E9-84A4-DA22CFC260E9}" name="Questions" dataDxfId="170"/>
    <tableColumn id="2" xr3:uid="{C6B24B7F-7377-4B78-A97A-E54E554FCF3B}" name="Y/N" dataDxfId="169"/>
    <tableColumn id="3" xr3:uid="{264F2E9B-7001-4324-9142-C9FEB208F6FB}" name="Notes / transcription" dataDxfId="168"/>
    <tableColumn id="4" xr3:uid="{123F8BE1-5994-49EB-96CF-0FD38592D5F0}" name="Column1" dataDxfId="16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A9FCD2E-1048-4205-91D1-BBB1F4D181DC}" name="Table2447" displayName="Table2447" ref="A22:C31" totalsRowShown="0" dataDxfId="166">
  <autoFilter ref="A22:C31" xr:uid="{EA9FCD2E-1048-4205-91D1-BBB1F4D181DC}"/>
  <tableColumns count="3">
    <tableColumn id="1" xr3:uid="{A25C6EB7-C88E-454E-B2D1-3755726941AE}" name="Questions" dataDxfId="165"/>
    <tableColumn id="2" xr3:uid="{79ECDCA0-EED0-41DB-BC3B-38E9DDEE3BE4}" name="Y/N" dataDxfId="164"/>
    <tableColumn id="3" xr3:uid="{6B80BFB2-AFD5-49F1-8229-7163AE7360D2}" name="Notes / transcription" dataDxfId="16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A961C5C6-9AA5-439D-9293-F31C4EE1D23A}" name="Table2448" displayName="Table2448" ref="A22:C31" totalsRowShown="0" dataDxfId="162">
  <autoFilter ref="A22:C31" xr:uid="{A961C5C6-9AA5-439D-9293-F31C4EE1D23A}"/>
  <tableColumns count="3">
    <tableColumn id="1" xr3:uid="{4B04867C-88AD-4813-87FC-6603FE549424}" name="Questions" dataDxfId="161"/>
    <tableColumn id="2" xr3:uid="{E2C7CCC1-906A-47D7-93DA-53085B2F817E}" name="Y/N" dataDxfId="160"/>
    <tableColumn id="3" xr3:uid="{AD643532-3D87-4BAF-8EF9-36586A67359D}" name="Notes / transcription" dataDxfId="15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DFCAAC62-33DE-410F-8D92-C6EF2044EFDC}" name="Table2449" displayName="Table2449" ref="A22:C31" totalsRowShown="0" dataDxfId="158">
  <autoFilter ref="A22:C31" xr:uid="{DFCAAC62-33DE-410F-8D92-C6EF2044EFDC}"/>
  <tableColumns count="3">
    <tableColumn id="1" xr3:uid="{4D4630E9-22E5-4391-844D-C75ED8917C3A}" name="Questions" dataDxfId="157"/>
    <tableColumn id="2" xr3:uid="{FF94B34D-4714-490C-A0FC-5333818F9BDC}" name="Y/N" dataDxfId="156"/>
    <tableColumn id="3" xr3:uid="{6358AAED-6FD4-4CFE-8630-BA62BEE971F9}" name="Notes / transcription"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CE551595-D335-412A-A813-1240A85CE8C5}" name="Table2450" displayName="Table2450" ref="A22:D31" totalsRowShown="0" dataDxfId="154">
  <autoFilter ref="A22:D31" xr:uid="{CE551595-D335-412A-A813-1240A85CE8C5}"/>
  <tableColumns count="4">
    <tableColumn id="1" xr3:uid="{5A71F344-0F08-483F-908B-340C1B8236B1}" name="Questions" dataDxfId="153"/>
    <tableColumn id="2" xr3:uid="{89438FB1-396B-4863-8ED9-35983EE6C31A}" name="Y/N" dataDxfId="152"/>
    <tableColumn id="3" xr3:uid="{4BC18CFA-21EF-4335-B46F-213E3C83DEF1}" name="Notes / transcription" dataDxfId="151"/>
    <tableColumn id="4" xr3:uid="{3AA932A9-0117-4455-9DEF-15C2C90C202D}" name="Column1" dataDxfId="15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E6DB1D16-942A-4CC7-BDC5-787E20157680}" name="Table2451" displayName="Table2451" ref="A22:C31" totalsRowShown="0" dataDxfId="149">
  <autoFilter ref="A22:C31" xr:uid="{E6DB1D16-942A-4CC7-BDC5-787E20157680}"/>
  <tableColumns count="3">
    <tableColumn id="1" xr3:uid="{2D73B12D-CD76-4E47-925E-3F8C370F7E80}" name="Questions" dataDxfId="148"/>
    <tableColumn id="2" xr3:uid="{C9B9559D-86A8-4106-9990-6850D1C6FA5A}" name="Y/N" dataDxfId="147"/>
    <tableColumn id="3" xr3:uid="{69CED1E5-BD50-43F4-8D10-96AF62896DFE}" name="Notes / transcription" dataDxfId="14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85715376-F071-4C02-BF2C-011A46D92B66}" name="Table2452" displayName="Table2452" ref="A22:C31" totalsRowShown="0" dataDxfId="145">
  <autoFilter ref="A22:C31" xr:uid="{85715376-F071-4C02-BF2C-011A46D92B66}"/>
  <tableColumns count="3">
    <tableColumn id="1" xr3:uid="{1A4E3CDA-056A-4849-BE99-F13869EEF860}" name="Questions" dataDxfId="144"/>
    <tableColumn id="2" xr3:uid="{681949A5-C587-4B20-BC15-4CC04C567BDD}" name="Y/N" dataDxfId="143"/>
    <tableColumn id="3" xr3:uid="{0D2EEBCD-8EF4-4326-873B-CB8F636B300A}" name="Notes / transcription" dataDxfId="14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C5734335-9B59-46D2-8282-464D4DDB818B}" name="Table2453" displayName="Table2453" ref="A22:C31" totalsRowShown="0" dataDxfId="141">
  <autoFilter ref="A22:C31" xr:uid="{C5734335-9B59-46D2-8282-464D4DDB818B}"/>
  <tableColumns count="3">
    <tableColumn id="1" xr3:uid="{DCB1A460-13AA-4091-A2E2-231AA4F6117A}" name="Questions" dataDxfId="140"/>
    <tableColumn id="2" xr3:uid="{363162F3-4DD5-40D1-898D-80BD837829FF}" name="Y/N" dataDxfId="139"/>
    <tableColumn id="3" xr3:uid="{0895826F-3D42-4FC1-9D5F-C04622571E26}" name="Notes / transcription" dataDxfId="138"/>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40D9463E-3CA3-4E81-A703-6196CD1A9C41}" name="Table2454" displayName="Table2454" ref="A22:C31" totalsRowShown="0" dataDxfId="137">
  <autoFilter ref="A22:C31" xr:uid="{40D9463E-3CA3-4E81-A703-6196CD1A9C41}"/>
  <tableColumns count="3">
    <tableColumn id="1" xr3:uid="{609F6A58-030F-4720-BDD7-C0D0D8C92583}" name="Questions" dataDxfId="136"/>
    <tableColumn id="2" xr3:uid="{ABC5D001-E24A-44A5-9C52-E74F3A53B362}" name="Y/N" dataDxfId="135"/>
    <tableColumn id="3" xr3:uid="{9034ACAF-16A7-45FD-BD22-180B76EA8C3E}" name="Notes / transcription" dataDxfId="134"/>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FF43323-1ECE-40EC-A248-833A68DF04AB}" name="Table2455" displayName="Table2455" ref="A22:C31" totalsRowShown="0" dataDxfId="133">
  <autoFilter ref="A22:C31" xr:uid="{CFF43323-1ECE-40EC-A248-833A68DF04AB}"/>
  <tableColumns count="3">
    <tableColumn id="1" xr3:uid="{45C878F0-2790-4B8D-BD22-FC780D148955}" name="Questions" dataDxfId="132"/>
    <tableColumn id="2" xr3:uid="{246E1F71-89F3-412B-9F56-DDAA52F8E595}" name="Y/N" dataDxfId="131"/>
    <tableColumn id="3" xr3:uid="{9066E701-0120-41DC-9274-70A76A4B3AFB}" name="Notes / transcription" dataDxfId="13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BCD37A81-CBFF-413C-8D89-219B43FB2A9D}" name="Table2456" displayName="Table2456" ref="A22:C31" totalsRowShown="0" dataDxfId="129">
  <autoFilter ref="A22:C31" xr:uid="{BCD37A81-CBFF-413C-8D89-219B43FB2A9D}"/>
  <tableColumns count="3">
    <tableColumn id="1" xr3:uid="{97043A49-25F1-445E-AFC1-B063FA18FC44}" name="Questions" dataDxfId="128"/>
    <tableColumn id="2" xr3:uid="{EA17DA1F-003A-478A-833D-114BB90ACC26}" name="Y/N" dataDxfId="127"/>
    <tableColumn id="3" xr3:uid="{61C70467-29A7-40B1-B6FF-73F3302DA29F}" name="Notes / transcription" dataDxfId="126"/>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9A0C2093-EB43-4081-8A82-BD04A5C8D431}" name="Table2457" displayName="Table2457" ref="A22:C31" totalsRowShown="0" dataDxfId="125">
  <autoFilter ref="A22:C31" xr:uid="{9A0C2093-EB43-4081-8A82-BD04A5C8D431}"/>
  <tableColumns count="3">
    <tableColumn id="1" xr3:uid="{346DF33A-2B59-41D4-A769-2043B9BD9B08}" name="Questions" dataDxfId="124"/>
    <tableColumn id="2" xr3:uid="{F7F3F1D8-A36A-4757-A7F7-45D47842282A}" name="Y/N" dataDxfId="123"/>
    <tableColumn id="3" xr3:uid="{14795157-1E27-45B0-B9E2-CF99BF3F77D4}" name="Notes / transcription" dataDxfId="122"/>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E1299411-6A25-4603-A4EE-1A6BD0F8776C}" name="Table2458" displayName="Table2458" ref="A22:C31" totalsRowShown="0" dataDxfId="121">
  <autoFilter ref="A22:C31" xr:uid="{E1299411-6A25-4603-A4EE-1A6BD0F8776C}"/>
  <tableColumns count="3">
    <tableColumn id="1" xr3:uid="{77B4CB37-97A3-4D3B-8670-9E7D827D0111}" name="Questions" dataDxfId="120"/>
    <tableColumn id="2" xr3:uid="{101CB381-99C5-4DBA-A0E8-75D05B78E388}" name="Y/N" dataDxfId="119"/>
    <tableColumn id="3" xr3:uid="{87AC43C1-EAA2-491F-806B-682BA08BE768}" name="Notes / transcription" dataDxfId="11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55380ADE-F243-4F14-B9A0-43FFD0C528E1}" name="Table2459" displayName="Table2459" ref="A23:C32" totalsRowShown="0" dataDxfId="117">
  <autoFilter ref="A23:C32" xr:uid="{55380ADE-F243-4F14-B9A0-43FFD0C528E1}"/>
  <tableColumns count="3">
    <tableColumn id="1" xr3:uid="{72EA1183-652F-4CB7-9BED-35851ED666FC}" name="Questions" dataDxfId="116"/>
    <tableColumn id="2" xr3:uid="{23FC447F-F3DB-499E-941D-16527810015D}" name="Y/N" dataDxfId="115"/>
    <tableColumn id="3" xr3:uid="{F19FC9B5-03FB-435D-B223-34C85047D192}" name="Notes / transcription" dataDxfId="114"/>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9744A773-8D24-4B45-9E15-CE92ACDAAC3E}" name="Table2460" displayName="Table2460" ref="A22:C31" totalsRowShown="0" dataDxfId="113">
  <autoFilter ref="A22:C31" xr:uid="{9744A773-8D24-4B45-9E15-CE92ACDAAC3E}"/>
  <tableColumns count="3">
    <tableColumn id="1" xr3:uid="{FF44A7FB-F394-418E-A2B2-30CDE58746F7}" name="Questions" dataDxfId="112"/>
    <tableColumn id="2" xr3:uid="{E9D3389E-8445-4655-A68D-C3B8A4AFA4B2}" name="Y/N" dataDxfId="111"/>
    <tableColumn id="3" xr3:uid="{EC8BEDF6-2DD9-4FA1-A59C-401A576BDA78}" name="Notes / transcription" dataDxfId="110"/>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D4244F3B-5E19-49B4-9131-6A3CB4118020}" name="Table2461" displayName="Table2461" ref="A22:C31" totalsRowShown="0" dataDxfId="109">
  <autoFilter ref="A22:C31" xr:uid="{D4244F3B-5E19-49B4-9131-6A3CB4118020}"/>
  <tableColumns count="3">
    <tableColumn id="1" xr3:uid="{AF755295-2082-4F31-B746-08CF4AB2591E}" name="Questions" dataDxfId="108"/>
    <tableColumn id="2" xr3:uid="{6222254A-0C34-48C9-A033-37CAB1BC3B62}" name="Y/N" dataDxfId="107"/>
    <tableColumn id="3" xr3:uid="{A98E19A9-5BBE-4410-A259-E9BD8A50E200}" name="Notes / transcription" dataDxfId="106"/>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C46F30B9-813F-4889-B30C-E372FEC0D660}" name="Table2462" displayName="Table2462" ref="A22:C31" totalsRowShown="0" dataDxfId="105">
  <autoFilter ref="A22:C31" xr:uid="{C46F30B9-813F-4889-B30C-E372FEC0D660}"/>
  <tableColumns count="3">
    <tableColumn id="1" xr3:uid="{7BA6E328-23F2-4809-9C2E-C9A8C4686BB0}" name="Questions" dataDxfId="104"/>
    <tableColumn id="2" xr3:uid="{0BA70B60-CA72-431E-88B2-7AD5D0E51E88}" name="Y/N" dataDxfId="103"/>
    <tableColumn id="3" xr3:uid="{A38DC1DE-C88B-43E6-ACB6-31BB62C0C406}" name="Notes / transcription" dataDxfId="102"/>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58217650-01C4-47FD-BA7B-DFE73115D5B1}" name="Table2463" displayName="Table2463" ref="A22:C31" totalsRowShown="0" dataDxfId="101">
  <autoFilter ref="A22:C31" xr:uid="{58217650-01C4-47FD-BA7B-DFE73115D5B1}"/>
  <tableColumns count="3">
    <tableColumn id="1" xr3:uid="{17806DEB-2EE3-40C6-86EB-23DCF2583495}" name="Questions" dataDxfId="100"/>
    <tableColumn id="2" xr3:uid="{A94CE745-1932-47BB-AA31-5C5E70A2B132}" name="Y/N" dataDxfId="99"/>
    <tableColumn id="3" xr3:uid="{C353F6E7-FE7F-47F9-97A5-B1CCDCB7E249}" name="Notes / transcription" dataDxfId="98"/>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3CDC1B74-083B-4D51-80A5-6948942188AD}" name="Table2464" displayName="Table2464" ref="A22:C31" totalsRowShown="0" dataDxfId="97">
  <autoFilter ref="A22:C31" xr:uid="{3CDC1B74-083B-4D51-80A5-6948942188AD}"/>
  <tableColumns count="3">
    <tableColumn id="1" xr3:uid="{C406FDA5-10E5-437F-80B4-818230D871F3}" name="Questions" dataDxfId="96"/>
    <tableColumn id="2" xr3:uid="{56C7559D-6D5D-471D-99D4-BC03E7F01729}" name="Y/N" dataDxfId="95"/>
    <tableColumn id="3" xr3:uid="{FDB374F6-1359-423B-945D-5A9102F89EB9}" name="Notes / transcription" dataDxfId="94"/>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B6558217-984A-4EF7-B534-C2F9BAB5C47E}" name="Table2465" displayName="Table2465" ref="A22:C31" totalsRowShown="0" dataDxfId="93">
  <autoFilter ref="A22:C31" xr:uid="{B6558217-984A-4EF7-B534-C2F9BAB5C47E}"/>
  <tableColumns count="3">
    <tableColumn id="1" xr3:uid="{D6CB6D74-A031-4873-BB74-BF93D31F804C}" name="Questions" dataDxfId="92"/>
    <tableColumn id="2" xr3:uid="{0DA86F13-5456-46DE-83A6-E82FF1BBE500}" name="Y/N" dataDxfId="91"/>
    <tableColumn id="3" xr3:uid="{C13D00E9-4D0F-4994-BB42-392EF5F5E138}" name="Notes / transcription" dataDxfId="9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6457EE75-F30C-405D-B2A1-156303C00A64}" name="Table2466" displayName="Table2466" ref="A22:C31" totalsRowShown="0" dataDxfId="89">
  <autoFilter ref="A22:C31" xr:uid="{6457EE75-F30C-405D-B2A1-156303C00A64}"/>
  <tableColumns count="3">
    <tableColumn id="1" xr3:uid="{2D60C5CD-50E8-483E-91DB-AB2602879D1B}" name="Questions" dataDxfId="88"/>
    <tableColumn id="2" xr3:uid="{FBEB5C61-01E1-4D66-B402-5A96F77EFF08}" name="Y/N" dataDxfId="87"/>
    <tableColumn id="3" xr3:uid="{8C316591-8D7C-4532-9246-2AB9251D9F35}" name="Notes / transcription" dataDxfId="86"/>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ED93F50C-433F-4DD3-9E27-D32CB371BC1E}" name="Table2467" displayName="Table2467" ref="A22:C31" totalsRowShown="0" dataDxfId="85">
  <autoFilter ref="A22:C31" xr:uid="{ED93F50C-433F-4DD3-9E27-D32CB371BC1E}"/>
  <tableColumns count="3">
    <tableColumn id="1" xr3:uid="{6598BF32-A3AF-43AB-BDE4-FC937C470138}" name="Questions" dataDxfId="84"/>
    <tableColumn id="2" xr3:uid="{4C868B26-36F7-42B0-8F98-656D9D7ECB89}" name="Y/N" dataDxfId="83"/>
    <tableColumn id="3" xr3:uid="{BD3B410B-CDE6-4733-A016-743DE5C0DB00}" name="Notes / transcription" dataDxfId="82"/>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4DD209A-DB2D-4B72-AE34-3EFF72B2A051}" name="Table2468" displayName="Table2468" ref="A22:C31" totalsRowShown="0" dataDxfId="81">
  <autoFilter ref="A22:C31" xr:uid="{04DD209A-DB2D-4B72-AE34-3EFF72B2A051}"/>
  <tableColumns count="3">
    <tableColumn id="1" xr3:uid="{B8016148-5E49-4912-97CE-328B2B1A1B81}" name="Questions" dataDxfId="80"/>
    <tableColumn id="2" xr3:uid="{676C42D4-E310-467C-9580-89FE9EB78C19}" name="Y/N" dataDxfId="79"/>
    <tableColumn id="3" xr3:uid="{F9049D80-E8EB-456D-A93C-A72A42613BD4}" name="Notes / transcription" dataDxfId="7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DF10D6E5-01D8-4494-A326-293265A923EB}" name="Table2469" displayName="Table2469" ref="A22:C31" totalsRowShown="0" dataDxfId="77">
  <autoFilter ref="A22:C31" xr:uid="{DF10D6E5-01D8-4494-A326-293265A923EB}"/>
  <tableColumns count="3">
    <tableColumn id="1" xr3:uid="{8736E0C7-475C-4DC1-A932-AFDB70C43F85}" name="Questions" dataDxfId="76"/>
    <tableColumn id="2" xr3:uid="{15A35E00-BF08-419F-AB38-3C534D0DC490}" name="Y/N" dataDxfId="75"/>
    <tableColumn id="3" xr3:uid="{C87A0128-5DE2-4ECB-9ADB-58CF02F35214}" name="Notes / transcription" dataDxfId="74"/>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E0AABECE-B0A1-4D85-9E3F-E25065F79F6E}" name="Table2470" displayName="Table2470" ref="A22:C31" totalsRowShown="0" dataDxfId="73">
  <autoFilter ref="A22:C31" xr:uid="{E0AABECE-B0A1-4D85-9E3F-E25065F79F6E}"/>
  <tableColumns count="3">
    <tableColumn id="1" xr3:uid="{A53044F5-88B3-43C5-B4BC-6D3C9007E0AE}" name="Questions" dataDxfId="72"/>
    <tableColumn id="2" xr3:uid="{E5A9E104-CEDB-415D-B4AE-701D947CDDE4}" name="Y/N" dataDxfId="71"/>
    <tableColumn id="3" xr3:uid="{0534C417-38A6-4FB5-8CCC-E00A962018B9}" name="Notes / transcription" dataDxfId="70"/>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AC3957AB-8E00-4630-8603-1E582A03BD32}" name="Table2471" displayName="Table2471" ref="A22:C31" totalsRowShown="0" dataDxfId="69">
  <autoFilter ref="A22:C31" xr:uid="{AC3957AB-8E00-4630-8603-1E582A03BD32}"/>
  <tableColumns count="3">
    <tableColumn id="1" xr3:uid="{692D88FC-08FB-4DAD-95CD-BF7C29793577}" name="Questions" dataDxfId="68"/>
    <tableColumn id="2" xr3:uid="{CEA731F2-1DEA-47DF-A060-1385E08A8BAA}" name="Y/N" dataDxfId="67"/>
    <tableColumn id="3" xr3:uid="{614F2ABF-6FB4-4BC6-8147-73CE24333927}" name="Notes / transcription" dataDxfId="66"/>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63757819-6E7D-4947-9CC1-C3A9773135C8}" name="Table2472" displayName="Table2472" ref="A23:C32" totalsRowShown="0" dataDxfId="65">
  <autoFilter ref="A23:C32" xr:uid="{63757819-6E7D-4947-9CC1-C3A9773135C8}"/>
  <tableColumns count="3">
    <tableColumn id="1" xr3:uid="{3740F8CE-BD3E-4CDF-8927-556952062620}" name="Questions" dataDxfId="64"/>
    <tableColumn id="2" xr3:uid="{4A00D3E2-A4D4-45BF-94D1-50C0DFD14900}" name="Y/N" dataDxfId="63"/>
    <tableColumn id="3" xr3:uid="{EA2F1D80-E2DF-4E0F-9712-57050C27FE11}" name="Notes / transcription" dataDxfId="62"/>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BB62CE7F-18ED-490A-A90B-4A8060AC94AF}" name="Table2473" displayName="Table2473" ref="A22:C31" totalsRowShown="0" dataDxfId="61">
  <autoFilter ref="A22:C31" xr:uid="{BB62CE7F-18ED-490A-A90B-4A8060AC94AF}"/>
  <tableColumns count="3">
    <tableColumn id="1" xr3:uid="{1C7CC937-45DB-4B02-ABDD-F0CFC740436F}" name="Questions" dataDxfId="60"/>
    <tableColumn id="2" xr3:uid="{9D54B775-22C0-472D-AA35-1FA387260E29}" name="Y/N" dataDxfId="59"/>
    <tableColumn id="3" xr3:uid="{7EF2984D-5F48-4364-82A2-C7F3F2F80E86}" name="Notes / transcription" dataDxfId="58"/>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FC71339A-3556-43AB-B6D3-9182965FB535}" name="Table2474" displayName="Table2474" ref="A23:C32" totalsRowShown="0" dataDxfId="57">
  <autoFilter ref="A23:C32" xr:uid="{FC71339A-3556-43AB-B6D3-9182965FB535}"/>
  <tableColumns count="3">
    <tableColumn id="1" xr3:uid="{93B9DE8D-24B7-42EE-B170-0B81615582FD}" name="Questions" dataDxfId="56"/>
    <tableColumn id="2" xr3:uid="{C76E4E4A-190B-4AAE-A038-F0FC3EDD71B6}" name="Y/N" dataDxfId="55"/>
    <tableColumn id="3" xr3:uid="{E4FF9457-DC66-46A8-9319-80E73422414E}" name="Notes / transcription" dataDxfId="54"/>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622A8AA3-5D6B-4AD2-87AB-60BB76887F27}" name="Table2475" displayName="Table2475" ref="A22:C31" totalsRowShown="0" dataDxfId="53">
  <autoFilter ref="A22:C31" xr:uid="{622A8AA3-5D6B-4AD2-87AB-60BB76887F27}"/>
  <tableColumns count="3">
    <tableColumn id="1" xr3:uid="{A20D8E65-0C79-4717-968D-820D8C5F4A5C}" name="Questions" dataDxfId="52"/>
    <tableColumn id="2" xr3:uid="{B1F78299-456F-4F7A-9731-6DA0AD581615}" name="Y/N" dataDxfId="51"/>
    <tableColumn id="3" xr3:uid="{5170A2FF-CB55-4995-9B2D-E555B73840F7}" name="Notes / transcription" dataDxfId="50"/>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F4F43ABD-CF9D-4F85-933C-19379EFB680B}" name="Table2476" displayName="Table2476" ref="A22:D31" totalsRowShown="0" dataDxfId="49">
  <autoFilter ref="A22:D31" xr:uid="{F4F43ABD-CF9D-4F85-933C-19379EFB680B}"/>
  <tableColumns count="4">
    <tableColumn id="1" xr3:uid="{14DB082B-2643-4BDD-9364-FEEF87B75F2E}" name="Questions" dataDxfId="48"/>
    <tableColumn id="2" xr3:uid="{0B7C83BA-A085-4D67-8861-D7C263C7D1B6}" name="Y/N" dataDxfId="47"/>
    <tableColumn id="3" xr3:uid="{A2780DFE-75E1-4CB4-8FDD-A47E4DC8D136}" name="Notes / transcription" dataDxfId="46"/>
    <tableColumn id="4" xr3:uid="{2CE33B36-927B-4B58-937E-76EAD24EEEB2}" name="Column1" dataDxfId="45"/>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422F2C-5175-4753-864B-2842364B405C}" name="Table24765" displayName="Table24765" ref="F22:H31" totalsRowShown="0" dataDxfId="44">
  <autoFilter ref="F22:H31" xr:uid="{D5422F2C-5175-4753-864B-2842364B405C}"/>
  <tableColumns count="3">
    <tableColumn id="1" xr3:uid="{4E2E740D-AFD3-42E4-BF1F-131922D3448C}" name="Questions" dataDxfId="43"/>
    <tableColumn id="2" xr3:uid="{5EB3BB8F-2D02-431C-92CF-F9195358F71C}" name="Y/N" dataDxfId="42"/>
    <tableColumn id="3" xr3:uid="{90DFE757-54CB-4D17-9E43-8F03A4705ACB}" name="Notes / transcription" dataDxfId="41"/>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4E0E55B-E1DB-46EA-9404-608C7A61558F}" name="Table2477" displayName="Table2477" ref="A22:C31" totalsRowShown="0" dataDxfId="40">
  <autoFilter ref="A22:C31" xr:uid="{94E0E55B-E1DB-46EA-9404-608C7A61558F}"/>
  <tableColumns count="3">
    <tableColumn id="1" xr3:uid="{65BBF6AF-C9B1-4356-83AB-263052BAE1DE}" name="Questions" dataDxfId="39"/>
    <tableColumn id="2" xr3:uid="{8E64EE25-1B0F-4494-BE31-7D1D5080D904}" name="Y/N" dataDxfId="38"/>
    <tableColumn id="3" xr3:uid="{1EE13E17-677D-4602-B861-1D2DF616819A}" name="Notes / transcription" dataDxfId="37"/>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E0133A6-B5FC-47E6-8AA6-2EFADD8A5B60}" name="Table2478" displayName="Table2478" ref="A22:C31" totalsRowShown="0" dataDxfId="36">
  <autoFilter ref="A22:C31" xr:uid="{CE0133A6-B5FC-47E6-8AA6-2EFADD8A5B60}"/>
  <tableColumns count="3">
    <tableColumn id="1" xr3:uid="{50082294-A052-450B-AB80-AF0FDF42571D}" name="Questions" dataDxfId="35"/>
    <tableColumn id="2" xr3:uid="{1BEB759B-BC39-42C2-9F51-C221C1BD7DB6}" name="Y/N" dataDxfId="34"/>
    <tableColumn id="3" xr3:uid="{52D02A30-8BE2-43CD-82CB-F3874D54F349}" name="Notes / transcription" dataDxfId="33"/>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2F062A6B-BB37-4D3A-A210-CB8746CB3C7A}" name="Table2479" displayName="Table2479" ref="A23:C32" totalsRowShown="0" dataDxfId="32">
  <autoFilter ref="A23:C32" xr:uid="{2F062A6B-BB37-4D3A-A210-CB8746CB3C7A}"/>
  <tableColumns count="3">
    <tableColumn id="1" xr3:uid="{DFB50F70-73B0-4EF0-97AE-1C6FAF3F87B9}" name="Questions" dataDxfId="31"/>
    <tableColumn id="2" xr3:uid="{0D57CF6B-F97D-4C8A-989C-F0BBD44BEB57}" name="Y/N" dataDxfId="30"/>
    <tableColumn id="3" xr3:uid="{E6AF888C-1906-47EB-8401-468BE8EEDEE3}" name="Notes / transcription" dataDxfId="29"/>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250A8A-A3C6-42BB-AE33-63F9FF48AA66}" name="Table24793" displayName="Table24793" ref="F23:I32" totalsRowShown="0" dataDxfId="28">
  <autoFilter ref="F23:I32" xr:uid="{2A250A8A-A3C6-42BB-AE33-63F9FF48AA66}"/>
  <tableColumns count="4">
    <tableColumn id="1" xr3:uid="{76B13D3F-DB8B-4BC9-93AB-F644E2833617}" name="Questions" dataDxfId="27"/>
    <tableColumn id="2" xr3:uid="{98D88C38-4F48-4E87-95F9-030A20EF039D}" name="Y/N" dataDxfId="26"/>
    <tableColumn id="3" xr3:uid="{86ACF002-1112-4F61-B175-93271E30FB11}" name="Notes / transcription" dataDxfId="25"/>
    <tableColumn id="4" xr3:uid="{473B9DD2-DDDF-4233-BF8E-74878F64CA5B}" name="Column1" dataDxfId="24"/>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B0E66AD7-438D-4FBE-A27E-0526FD390459}" name="Table2480" displayName="Table2480" ref="A22:C31" totalsRowShown="0" dataDxfId="23">
  <autoFilter ref="A22:C31" xr:uid="{B0E66AD7-438D-4FBE-A27E-0526FD390459}"/>
  <tableColumns count="3">
    <tableColumn id="1" xr3:uid="{6A3D0EBD-B6C8-4213-A8E6-2021C32881BC}" name="Questions" dataDxfId="22"/>
    <tableColumn id="2" xr3:uid="{344002A8-BE96-4A80-B960-8462179DE185}" name="Y/N" dataDxfId="21"/>
    <tableColumn id="3" xr3:uid="{ACCDA3B4-CAE4-4365-A19C-2D08D17B26BD}" name="Notes / transcription" dataDxfId="20"/>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7027BC8A-6B1F-4FA7-85DB-E7A6878E8CF3}" name="Table2481" displayName="Table2481" ref="A22:C31" totalsRowShown="0" dataDxfId="19">
  <autoFilter ref="A22:C31" xr:uid="{7027BC8A-6B1F-4FA7-85DB-E7A6878E8CF3}"/>
  <tableColumns count="3">
    <tableColumn id="1" xr3:uid="{195D5373-D0A3-4EAE-860B-9AFB92B905CB}" name="Questions" dataDxfId="18"/>
    <tableColumn id="2" xr3:uid="{9BA7AF77-8288-4D76-BEF1-025ABC0BD1B1}" name="Y/N" dataDxfId="17"/>
    <tableColumn id="3" xr3:uid="{2447AE80-2A44-469B-BBF3-CD1DB39FBF29}" name="Notes / transcription" dataDxfId="16"/>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D50C00E4-2116-4945-B1DD-0DCB584A9E2A}" name="Table2482" displayName="Table2482" ref="A22:C31" totalsRowShown="0" dataDxfId="15">
  <autoFilter ref="A22:C31" xr:uid="{D50C00E4-2116-4945-B1DD-0DCB584A9E2A}"/>
  <tableColumns count="3">
    <tableColumn id="1" xr3:uid="{AE5EC448-FF68-42DA-BF8F-A32242C8A7EE}" name="Questions" dataDxfId="14"/>
    <tableColumn id="2" xr3:uid="{50B08A44-145B-4FE5-A02E-8E4500730AEE}" name="Y/N" dataDxfId="13"/>
    <tableColumn id="3" xr3:uid="{88508566-D274-47A0-AB2F-DF175D8F01B1}" name="Notes / transcription" dataDxfId="12"/>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8F0E7C4B-330D-4222-A98E-0463EDF55761}" name="Table2483" displayName="Table2483" ref="A22:C31" totalsRowShown="0" dataDxfId="11">
  <autoFilter ref="A22:C31" xr:uid="{8F0E7C4B-330D-4222-A98E-0463EDF55761}"/>
  <tableColumns count="3">
    <tableColumn id="1" xr3:uid="{0D5E6B88-931D-464A-B362-E4D72F047BFB}" name="Questions" dataDxfId="10"/>
    <tableColumn id="2" xr3:uid="{ED4B369E-0ADC-4D4E-B8B2-3ACA32F5BAA1}" name="Y/N" dataDxfId="9"/>
    <tableColumn id="3" xr3:uid="{4DA19CF5-E998-4F11-B47D-D872F1B45B00}" name="Notes / transcription" dataDxfId="8"/>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8CA8BD0B-0001-4CC4-AF91-B27D5EA5C846}" name="Table2484" displayName="Table2484" ref="A22:C31" totalsRowShown="0" dataDxfId="7">
  <autoFilter ref="A22:C31" xr:uid="{8CA8BD0B-0001-4CC4-AF91-B27D5EA5C846}"/>
  <tableColumns count="3">
    <tableColumn id="1" xr3:uid="{11AA0F45-0A5F-4B8D-A403-705FFC894E76}" name="Questions" dataDxfId="6"/>
    <tableColumn id="2" xr3:uid="{20471BB8-F9F7-4003-9686-4152C37BA2ED}" name="Y/N" dataDxfId="5"/>
    <tableColumn id="3" xr3:uid="{AE760E8B-EF5F-4F71-B6D1-BF8B8CAB0767}" name="Notes / transcription" dataDxfId="4"/>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821484BE-BB2D-4086-B8AC-5E08DCB8BE3B}" name="Table2485" displayName="Table2485" ref="A22:C31" totalsRowShown="0" dataDxfId="3">
  <autoFilter ref="A22:C31" xr:uid="{821484BE-BB2D-4086-B8AC-5E08DCB8BE3B}"/>
  <tableColumns count="3">
    <tableColumn id="1" xr3:uid="{A948887F-348A-4FDA-BC39-6A026E53A979}" name="Questions" dataDxfId="2"/>
    <tableColumn id="2" xr3:uid="{9B9127C4-718B-4912-848E-A390E2AD9CE8}" name="Y/N" dataDxfId="1"/>
    <tableColumn id="3" xr3:uid="{54F3E0AF-936D-40FA-931C-8674FF1E112E}" name="Notes / tran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ofm.wa.gov/washington-data-research/population-demographics/population-estimates/april-1-official-population-estimates" TargetMode="External"/><Relationship Id="rId3" Type="http://schemas.openxmlformats.org/officeDocument/2006/relationships/hyperlink" Target="https://mrsc.org/explore-topics/planning/gma/growth-management-act-basics" TargetMode="External"/><Relationship Id="rId7" Type="http://schemas.openxmlformats.org/officeDocument/2006/relationships/hyperlink" Target="https://ofm.wa.gov/about/news/2025/06/washington-population-growth-slowing" TargetMode="External"/><Relationship Id="rId2" Type="http://schemas.openxmlformats.org/officeDocument/2006/relationships/hyperlink" Target="https://www.whitmancounty.gov/DocumentCenter/View/10602/Comprehensive-Planning-Under-the-Growth-Management-Act---2025-06-25-PDF" TargetMode="External"/><Relationship Id="rId1" Type="http://schemas.openxmlformats.org/officeDocument/2006/relationships/hyperlink" Target="https://www.yakimacounty.us/DocumentCenter/View/35541/GMA-UPDATE-tab---A-Guide-to-the-Periodic-Update-Process-under-the-GMA" TargetMode="External"/><Relationship Id="rId6" Type="http://schemas.openxmlformats.org/officeDocument/2006/relationships/hyperlink" Target="https://ofm.wa.gov/wp-content/uploads/sites/default/files/public/dataresearch/pop/april1/ofm_april1_population_final.pdf" TargetMode="External"/><Relationship Id="rId11" Type="http://schemas.openxmlformats.org/officeDocument/2006/relationships/hyperlink" Target="https://app.leg.wa.gov/documents/billdocs/2021-22/Htm/Bill%20Reports/Senate/1241-S.E%20SBR%20WM%20OC%2021.htm" TargetMode="External"/><Relationship Id="rId5" Type="http://schemas.openxmlformats.org/officeDocument/2006/relationships/hyperlink" Target="https://ofm.wa.gov/washington-data-research/population-demographics/population-estimates/historical-estimates-april-1-population-and-housing-state-counties-and-cities" TargetMode="External"/><Relationship Id="rId10" Type="http://schemas.openxmlformats.org/officeDocument/2006/relationships/hyperlink" Target="https://poulsbo.gov/wp-content/uploads/2018/12/PlanninginWAState.pdf" TargetMode="External"/><Relationship Id="rId4" Type="http://schemas.openxmlformats.org/officeDocument/2006/relationships/hyperlink" Target="https://app.leg.wa.gov/RCW/default.aspx?cite=36.70A" TargetMode="External"/><Relationship Id="rId9" Type="http://schemas.openxmlformats.org/officeDocument/2006/relationships/hyperlink" Target="https://futurewise.org/about-the-gma/"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tel:%2015096893464" TargetMode="External"/><Relationship Id="rId13" Type="http://schemas.openxmlformats.org/officeDocument/2006/relationships/hyperlink" Target="mailto:maintenance@rosaliatown.org" TargetMode="External"/><Relationship Id="rId18" Type="http://schemas.openxmlformats.org/officeDocument/2006/relationships/table" Target="../tables/table1.xml"/><Relationship Id="rId3" Type="http://schemas.openxmlformats.org/officeDocument/2006/relationships/hyperlink" Target="tel:(360)%20940-7535" TargetMode="External"/><Relationship Id="rId7" Type="http://schemas.openxmlformats.org/officeDocument/2006/relationships/hyperlink" Target="mailto:Lee.Webster@brewsterwa.us" TargetMode="External"/><Relationship Id="rId12" Type="http://schemas.openxmlformats.org/officeDocument/2006/relationships/hyperlink" Target="mailto:tekoapublicworksdept@gmail.com" TargetMode="External"/><Relationship Id="rId17" Type="http://schemas.openxmlformats.org/officeDocument/2006/relationships/hyperlink" Target="mailto:bryanh@northbonneville.net" TargetMode="External"/><Relationship Id="rId2" Type="http://schemas.openxmlformats.org/officeDocument/2006/relationships/hyperlink" Target="mailto:rvictoriano@osgov.com" TargetMode="External"/><Relationship Id="rId16" Type="http://schemas.openxmlformats.org/officeDocument/2006/relationships/hyperlink" Target="mailto:pwd@odessawa.org" TargetMode="External"/><Relationship Id="rId1" Type="http://schemas.openxmlformats.org/officeDocument/2006/relationships/hyperlink" Target="mailto:bunnellr@ci.woodland.wa.us" TargetMode="External"/><Relationship Id="rId6" Type="http://schemas.openxmlformats.org/officeDocument/2006/relationships/hyperlink" Target="https://reardanwa.gov/index.asp?SEC=55D012BF-68BF-4417-BD1B-7CDF35B24375" TargetMode="External"/><Relationship Id="rId11" Type="http://schemas.openxmlformats.org/officeDocument/2006/relationships/hyperlink" Target="tel:3607953301" TargetMode="External"/><Relationship Id="rId5" Type="http://schemas.openxmlformats.org/officeDocument/2006/relationships/hyperlink" Target="mailto:ChrisT@whitesalmonwa.gov" TargetMode="External"/><Relationship Id="rId15" Type="http://schemas.openxmlformats.org/officeDocument/2006/relationships/hyperlink" Target="mailto:chris.collins@ci.longview.wa.us" TargetMode="External"/><Relationship Id="rId10" Type="http://schemas.openxmlformats.org/officeDocument/2006/relationships/hyperlink" Target="tel:5094273909" TargetMode="External"/><Relationship Id="rId4" Type="http://schemas.openxmlformats.org/officeDocument/2006/relationships/hyperlink" Target="mailto:DFowler@cosmopoliswa.gov" TargetMode="External"/><Relationship Id="rId9" Type="http://schemas.openxmlformats.org/officeDocument/2006/relationships/hyperlink" Target="mailto:publicworks@co.skamania.wa.us" TargetMode="External"/><Relationship Id="rId14" Type="http://schemas.openxmlformats.org/officeDocument/2006/relationships/hyperlink" Target="mailto:pwasdirector@townoftwisp.com"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hyperlink" Target="mailto:publicworks@okanagancity.com" TargetMode="External"/></Relationships>
</file>

<file path=xl/worksheets/_rels/sheet32.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8.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table" Target="../tables/table34.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41.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table" Target="../tables/table38.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7.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hyperlink" Target="mailto:clerk@rosaliatown.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0E3A-B300-4A4A-9507-FBC82F6A6BD1}">
  <dimension ref="A1:BL66"/>
  <sheetViews>
    <sheetView tabSelected="1" zoomScale="55" zoomScaleNormal="55" workbookViewId="0">
      <selection activeCell="M2" sqref="M2"/>
    </sheetView>
  </sheetViews>
  <sheetFormatPr defaultRowHeight="14.5" x14ac:dyDescent="0.35"/>
  <cols>
    <col min="1" max="1" width="10.26953125" customWidth="1"/>
    <col min="2" max="2" width="13.54296875" customWidth="1"/>
    <col min="3" max="3" width="12.36328125" customWidth="1"/>
    <col min="5" max="5" width="13.7265625" customWidth="1"/>
    <col min="6" max="6" width="12.453125" customWidth="1"/>
    <col min="7" max="7" width="22.7265625" customWidth="1"/>
    <col min="8" max="8" width="36.453125" bestFit="1" customWidth="1"/>
    <col min="9" max="9" width="13.81640625" bestFit="1" customWidth="1"/>
    <col min="10" max="10" width="19.36328125" customWidth="1"/>
    <col min="11" max="11" width="15.6328125" customWidth="1"/>
    <col min="12" max="15" width="14.54296875" customWidth="1"/>
    <col min="16" max="16" width="23.54296875" bestFit="1" customWidth="1"/>
    <col min="17" max="17" width="15.08984375" customWidth="1"/>
    <col min="18" max="18" width="19" bestFit="1" customWidth="1"/>
    <col min="19" max="21" width="17.90625" customWidth="1"/>
    <col min="22" max="22" width="18.81640625" customWidth="1"/>
    <col min="23" max="23" width="15.90625" customWidth="1"/>
    <col min="24" max="29" width="14.6328125" customWidth="1"/>
    <col min="30" max="30" width="19.7265625" customWidth="1"/>
    <col min="31" max="31" width="14.1796875" customWidth="1"/>
    <col min="32" max="32" width="14" bestFit="1" customWidth="1"/>
    <col min="33" max="33" width="11" customWidth="1"/>
    <col min="34" max="34" width="13.36328125" customWidth="1"/>
    <col min="35" max="35" width="15" customWidth="1"/>
    <col min="36" max="36" width="12.81640625" customWidth="1"/>
    <col min="37" max="37" width="12.26953125" customWidth="1"/>
    <col min="38" max="38" width="11.90625" customWidth="1"/>
    <col min="39" max="39" width="10.54296875" customWidth="1"/>
    <col min="40" max="40" width="12.26953125" customWidth="1"/>
    <col min="41" max="41" width="22" customWidth="1"/>
    <col min="42" max="42" width="18" customWidth="1"/>
    <col min="43" max="43" width="21" customWidth="1"/>
    <col min="44" max="44" width="15.81640625" customWidth="1"/>
    <col min="45" max="45" width="15.453125" customWidth="1"/>
    <col min="46" max="46" width="11.1796875" bestFit="1" customWidth="1"/>
    <col min="47" max="47" width="15.81640625" customWidth="1"/>
    <col min="48" max="48" width="13.7265625" bestFit="1" customWidth="1"/>
    <col min="49" max="49" width="11.453125" customWidth="1"/>
    <col min="50" max="50" width="13.08984375" bestFit="1" customWidth="1"/>
    <col min="51" max="51" width="13.08984375" customWidth="1"/>
    <col min="52" max="52" width="14.36328125" customWidth="1"/>
    <col min="53" max="53" width="23.7265625" customWidth="1"/>
    <col min="54" max="54" width="26.54296875" customWidth="1"/>
    <col min="55" max="55" width="20.81640625" customWidth="1"/>
    <col min="56" max="56" width="18.26953125" bestFit="1" customWidth="1"/>
    <col min="57" max="57" width="34.6328125" customWidth="1"/>
    <col min="58" max="64" width="39.81640625" customWidth="1"/>
  </cols>
  <sheetData>
    <row r="1" spans="1:64" x14ac:dyDescent="0.35">
      <c r="A1" s="109"/>
      <c r="B1" s="110"/>
      <c r="C1" s="107" t="s">
        <v>581</v>
      </c>
      <c r="D1" s="108"/>
      <c r="E1" s="111"/>
      <c r="F1" s="112" t="s">
        <v>561</v>
      </c>
      <c r="G1" s="113"/>
      <c r="H1" s="114"/>
      <c r="I1" s="107" t="s">
        <v>562</v>
      </c>
      <c r="J1" s="108"/>
      <c r="K1" s="108"/>
      <c r="L1" s="108"/>
      <c r="M1" s="108"/>
      <c r="N1" s="108"/>
      <c r="O1" s="108"/>
      <c r="P1" s="108"/>
      <c r="Q1" s="111"/>
      <c r="R1" s="107" t="s">
        <v>563</v>
      </c>
      <c r="S1" s="108"/>
      <c r="T1" s="108"/>
      <c r="U1" s="111"/>
      <c r="V1" s="107" t="s">
        <v>564</v>
      </c>
      <c r="W1" s="108"/>
      <c r="X1" s="108"/>
      <c r="Y1" s="108"/>
      <c r="Z1" s="108"/>
      <c r="AA1" s="108"/>
      <c r="AB1" s="108"/>
      <c r="AC1" s="108"/>
      <c r="AD1" s="111"/>
      <c r="AE1" s="107" t="s">
        <v>565</v>
      </c>
      <c r="AF1" s="108"/>
      <c r="AG1" s="108"/>
      <c r="AH1" s="108"/>
      <c r="AI1" s="108"/>
      <c r="AJ1" s="108"/>
      <c r="AK1" s="108"/>
      <c r="AL1" s="108"/>
      <c r="AM1" s="108"/>
      <c r="AN1" s="111"/>
      <c r="AO1" s="107" t="s">
        <v>566</v>
      </c>
      <c r="AP1" s="108"/>
      <c r="AQ1" s="108"/>
      <c r="AR1" s="108"/>
      <c r="AS1" s="108"/>
      <c r="AT1" s="111"/>
      <c r="AU1" s="107" t="s">
        <v>567</v>
      </c>
      <c r="AV1" s="108"/>
      <c r="AW1" s="108"/>
      <c r="AX1" s="108"/>
      <c r="AY1" s="108"/>
      <c r="AZ1" s="108"/>
      <c r="BA1" s="107" t="s">
        <v>568</v>
      </c>
      <c r="BB1" s="108"/>
      <c r="BC1" s="111"/>
      <c r="BD1" s="107" t="s">
        <v>692</v>
      </c>
      <c r="BE1" s="108"/>
      <c r="BF1" s="108"/>
      <c r="BG1" s="108"/>
      <c r="BH1" s="108"/>
      <c r="BI1" s="108"/>
      <c r="BJ1" s="108"/>
      <c r="BK1" s="108"/>
      <c r="BL1" s="108"/>
    </row>
    <row r="2" spans="1:64" ht="69" customHeight="1" x14ac:dyDescent="0.35">
      <c r="A2" s="28" t="s">
        <v>0</v>
      </c>
      <c r="B2" s="54" t="s">
        <v>547</v>
      </c>
      <c r="C2" s="40" t="s">
        <v>817</v>
      </c>
      <c r="D2" s="33" t="s">
        <v>582</v>
      </c>
      <c r="E2" s="28" t="s">
        <v>658</v>
      </c>
      <c r="F2" s="33" t="s">
        <v>784</v>
      </c>
      <c r="G2" s="28" t="s">
        <v>658</v>
      </c>
      <c r="H2" s="62" t="s">
        <v>662</v>
      </c>
      <c r="I2" s="40" t="s">
        <v>785</v>
      </c>
      <c r="J2" s="28" t="s">
        <v>658</v>
      </c>
      <c r="K2" s="62" t="s">
        <v>661</v>
      </c>
      <c r="L2" s="28" t="s">
        <v>813</v>
      </c>
      <c r="M2" s="54" t="s">
        <v>814</v>
      </c>
      <c r="N2" s="54" t="s">
        <v>782</v>
      </c>
      <c r="O2" s="54" t="s">
        <v>827</v>
      </c>
      <c r="P2" s="54" t="s">
        <v>783</v>
      </c>
      <c r="Q2" s="41" t="s">
        <v>826</v>
      </c>
      <c r="R2" s="40" t="s">
        <v>786</v>
      </c>
      <c r="S2" s="28" t="s">
        <v>658</v>
      </c>
      <c r="T2" s="54" t="s">
        <v>787</v>
      </c>
      <c r="U2" s="41" t="s">
        <v>818</v>
      </c>
      <c r="V2" s="40" t="s">
        <v>788</v>
      </c>
      <c r="W2" s="28" t="s">
        <v>658</v>
      </c>
      <c r="X2" s="28" t="s">
        <v>789</v>
      </c>
      <c r="Y2" s="54" t="s">
        <v>790</v>
      </c>
      <c r="Z2" s="54" t="s">
        <v>791</v>
      </c>
      <c r="AA2" s="54" t="s">
        <v>792</v>
      </c>
      <c r="AB2" s="54" t="s">
        <v>793</v>
      </c>
      <c r="AC2" s="54" t="s">
        <v>794</v>
      </c>
      <c r="AD2" s="41" t="s">
        <v>795</v>
      </c>
      <c r="AE2" s="40" t="s">
        <v>796</v>
      </c>
      <c r="AF2" s="28" t="s">
        <v>658</v>
      </c>
      <c r="AG2" s="28" t="s">
        <v>797</v>
      </c>
      <c r="AH2" s="28" t="s">
        <v>798</v>
      </c>
      <c r="AI2" s="28" t="s">
        <v>799</v>
      </c>
      <c r="AJ2" s="28" t="s">
        <v>800</v>
      </c>
      <c r="AK2" s="28" t="s">
        <v>801</v>
      </c>
      <c r="AL2" s="28" t="s">
        <v>802</v>
      </c>
      <c r="AM2" s="28" t="s">
        <v>803</v>
      </c>
      <c r="AN2" s="41" t="s">
        <v>819</v>
      </c>
      <c r="AO2" s="40" t="s">
        <v>804</v>
      </c>
      <c r="AP2" s="28" t="s">
        <v>658</v>
      </c>
      <c r="AQ2" s="28" t="s">
        <v>805</v>
      </c>
      <c r="AR2" s="28" t="s">
        <v>806</v>
      </c>
      <c r="AS2" s="54" t="s">
        <v>807</v>
      </c>
      <c r="AT2" s="41" t="s">
        <v>808</v>
      </c>
      <c r="AU2" s="40" t="s">
        <v>809</v>
      </c>
      <c r="AV2" s="28" t="s">
        <v>658</v>
      </c>
      <c r="AW2" s="28" t="s">
        <v>810</v>
      </c>
      <c r="AX2" s="28" t="s">
        <v>811</v>
      </c>
      <c r="AY2" s="54" t="s">
        <v>812</v>
      </c>
      <c r="AZ2" s="54" t="s">
        <v>663</v>
      </c>
      <c r="BA2" s="40" t="s">
        <v>658</v>
      </c>
      <c r="BB2" s="28" t="s">
        <v>659</v>
      </c>
      <c r="BC2" s="41" t="s">
        <v>660</v>
      </c>
      <c r="BD2" s="40" t="s">
        <v>815</v>
      </c>
      <c r="BE2" s="28" t="s">
        <v>690</v>
      </c>
      <c r="BF2" s="28" t="s">
        <v>836</v>
      </c>
      <c r="BG2" s="54" t="s">
        <v>837</v>
      </c>
      <c r="BH2" s="54" t="s">
        <v>816</v>
      </c>
      <c r="BI2" s="54" t="s">
        <v>835</v>
      </c>
      <c r="BJ2" s="54" t="s">
        <v>691</v>
      </c>
      <c r="BK2" s="54" t="s">
        <v>828</v>
      </c>
      <c r="BL2" s="54" t="s">
        <v>834</v>
      </c>
    </row>
    <row r="3" spans="1:64" ht="162.5" x14ac:dyDescent="0.35">
      <c r="A3" s="2" t="s">
        <v>14</v>
      </c>
      <c r="B3" s="32" t="s">
        <v>15</v>
      </c>
      <c r="C3" s="76" t="s">
        <v>311</v>
      </c>
      <c r="D3" s="57"/>
      <c r="E3" s="43" t="s">
        <v>335</v>
      </c>
      <c r="F3" s="34" t="s">
        <v>314</v>
      </c>
      <c r="G3" s="57"/>
      <c r="H3" s="43" t="s">
        <v>586</v>
      </c>
      <c r="I3" s="42" t="s">
        <v>311</v>
      </c>
      <c r="J3" s="29" t="s">
        <v>334</v>
      </c>
      <c r="K3" s="29" t="s">
        <v>590</v>
      </c>
      <c r="L3" s="31">
        <v>7695</v>
      </c>
      <c r="M3" s="79">
        <v>9145</v>
      </c>
      <c r="N3" s="51">
        <f>((M3 - L3) / L3) * 100</f>
        <v>18.843404808317089</v>
      </c>
      <c r="O3" s="51" t="str" cm="1">
        <f t="array" ref="O3">IF(M3 &gt; MEDIAN(_xlfn._xlws.FILTER(M:M, C:C="Y")),"Y","N")</f>
        <v>Y</v>
      </c>
      <c r="P3" s="51" t="str">
        <f>IF(N3 &gt;= 10.15, "Y", "N")</f>
        <v>Y</v>
      </c>
      <c r="Q3" s="43" t="str" cm="1">
        <f t="array" ref="Q3">IF(N3 &gt; MEDIAN(_xlfn._xlws.FILTER(N:N, C:C="Y")), "Y", "N")</f>
        <v>Y</v>
      </c>
      <c r="R3" s="42" t="s">
        <v>314</v>
      </c>
      <c r="S3" s="29"/>
      <c r="T3" s="51" t="s">
        <v>314</v>
      </c>
      <c r="U3" s="43" t="s">
        <v>314</v>
      </c>
      <c r="V3" s="42" t="s">
        <v>311</v>
      </c>
      <c r="W3" s="29" t="s">
        <v>336</v>
      </c>
      <c r="X3" s="29" t="s">
        <v>314</v>
      </c>
      <c r="Y3" s="51" t="str">
        <f>IF(C3="N", "", IF(AND(C3="Y", OR(AA3="Y", AB3="Y", AC3="Y", AD3="Y")), "Y", "N"))</f>
        <v>Y</v>
      </c>
      <c r="Z3" s="51" t="s">
        <v>311</v>
      </c>
      <c r="AA3" s="51" t="s">
        <v>314</v>
      </c>
      <c r="AB3" s="51" t="s">
        <v>311</v>
      </c>
      <c r="AC3" s="51" t="s">
        <v>314</v>
      </c>
      <c r="AD3" s="43" t="s">
        <v>314</v>
      </c>
      <c r="AE3" s="42" t="s">
        <v>311</v>
      </c>
      <c r="AF3" s="29" t="s">
        <v>338</v>
      </c>
      <c r="AG3" s="29" t="s">
        <v>314</v>
      </c>
      <c r="AH3" s="29" t="s">
        <v>311</v>
      </c>
      <c r="AI3" s="29" t="s">
        <v>314</v>
      </c>
      <c r="AJ3" s="29" t="s">
        <v>314</v>
      </c>
      <c r="AK3" s="29" t="s">
        <v>314</v>
      </c>
      <c r="AL3" s="29" t="s">
        <v>314</v>
      </c>
      <c r="AM3" s="29" t="s">
        <v>314</v>
      </c>
      <c r="AN3" s="43" t="s">
        <v>314</v>
      </c>
      <c r="AO3" s="42" t="s">
        <v>311</v>
      </c>
      <c r="AP3" s="29" t="s">
        <v>337</v>
      </c>
      <c r="AQ3" s="29" t="s">
        <v>314</v>
      </c>
      <c r="AR3" s="29" t="s">
        <v>314</v>
      </c>
      <c r="AS3" s="51" t="s">
        <v>314</v>
      </c>
      <c r="AT3" s="43" t="s">
        <v>311</v>
      </c>
      <c r="AU3" s="42" t="s">
        <v>314</v>
      </c>
      <c r="AV3" s="29"/>
      <c r="AW3" s="29" t="s">
        <v>319</v>
      </c>
      <c r="AX3" s="29" t="s">
        <v>319</v>
      </c>
      <c r="AY3" s="51" t="s">
        <v>319</v>
      </c>
      <c r="AZ3" s="51" t="s">
        <v>319</v>
      </c>
      <c r="BA3" s="66"/>
      <c r="BB3" s="29"/>
      <c r="BC3" s="43" t="s">
        <v>339</v>
      </c>
      <c r="BD3" s="66">
        <v>22250763</v>
      </c>
      <c r="BE3" s="29" t="s">
        <v>693</v>
      </c>
      <c r="BF3" s="29">
        <v>4238690</v>
      </c>
      <c r="BG3" s="51">
        <f>BF3 /M3</f>
        <v>463.49808638600331</v>
      </c>
      <c r="BH3" s="51">
        <v>7816828</v>
      </c>
      <c r="BI3" s="102">
        <v>2427269</v>
      </c>
      <c r="BJ3" s="51" t="s">
        <v>735</v>
      </c>
      <c r="BK3" s="51">
        <f>BH3 / M3</f>
        <v>854.76522689994533</v>
      </c>
      <c r="BL3" s="101">
        <f>'log(debt) vs log(pop.) normaliz'!H3</f>
        <v>-0.35664910856522525</v>
      </c>
    </row>
    <row r="4" spans="1:64" ht="162.5" x14ac:dyDescent="0.35">
      <c r="A4" s="2" t="s">
        <v>14</v>
      </c>
      <c r="B4" s="32" t="s">
        <v>25</v>
      </c>
      <c r="C4" s="78" t="s">
        <v>314</v>
      </c>
      <c r="D4" s="58"/>
      <c r="E4" s="45"/>
      <c r="F4" s="35"/>
      <c r="G4" s="58"/>
      <c r="H4" s="45" t="s">
        <v>586</v>
      </c>
      <c r="I4" s="44"/>
      <c r="J4" s="30"/>
      <c r="K4" s="30"/>
      <c r="L4" s="30">
        <v>1680</v>
      </c>
      <c r="M4" s="55">
        <v>1790</v>
      </c>
      <c r="N4" s="55">
        <f>((M4 - L4) / L4) * 100</f>
        <v>6.5476190476190483</v>
      </c>
      <c r="O4" s="55" t="str" cm="1">
        <f t="array" ref="O4">IF(M4 &gt; MEDIAN(_xlfn._xlws.FILTER(M:M, C:C="Y")),"Y","N")</f>
        <v>N</v>
      </c>
      <c r="P4" s="30" t="str">
        <f>IF(N4 &gt;= 10.15, "Y", "N")</f>
        <v>N</v>
      </c>
      <c r="Q4" s="45" t="str" cm="1">
        <f t="array" ref="Q4">IF(N4 &gt; MEDIAN(_xlfn._xlws.FILTER(N:N, C:C="Y")), "Y", "N")</f>
        <v>Y</v>
      </c>
      <c r="R4" s="44"/>
      <c r="S4" s="30"/>
      <c r="T4" s="55"/>
      <c r="U4" s="45"/>
      <c r="V4" s="44"/>
      <c r="W4" s="30"/>
      <c r="X4" s="30"/>
      <c r="Y4" s="55" t="str">
        <f t="shared" ref="Y4:Y44" si="0">IF(C4="N", "", IF(AND(C4="Y", OR(AA4="Y", AB4="Y", AC4="Y", AD4="Y")), "Y", "N"))</f>
        <v/>
      </c>
      <c r="Z4" s="55"/>
      <c r="AA4" s="55"/>
      <c r="AB4" s="55"/>
      <c r="AC4" s="55"/>
      <c r="AD4" s="45"/>
      <c r="AE4" s="44"/>
      <c r="AF4" s="30"/>
      <c r="AG4" s="30"/>
      <c r="AH4" s="30"/>
      <c r="AI4" s="30"/>
      <c r="AJ4" s="30"/>
      <c r="AK4" s="30"/>
      <c r="AL4" s="30"/>
      <c r="AM4" s="30"/>
      <c r="AN4" s="45"/>
      <c r="AO4" s="49"/>
      <c r="AP4" s="30"/>
      <c r="AQ4" s="30"/>
      <c r="AR4" s="30"/>
      <c r="AS4" s="55"/>
      <c r="AT4" s="45"/>
      <c r="AU4" s="44"/>
      <c r="AV4" s="30"/>
      <c r="AW4" s="30"/>
      <c r="AX4" s="30"/>
      <c r="AY4" s="55"/>
      <c r="AZ4" s="55"/>
      <c r="BA4" s="49"/>
      <c r="BB4" s="30"/>
      <c r="BC4" s="45"/>
      <c r="BD4" s="49">
        <v>7938329</v>
      </c>
      <c r="BE4" s="30" t="s">
        <v>694</v>
      </c>
      <c r="BF4" s="30">
        <v>7316901</v>
      </c>
      <c r="BG4" s="55">
        <f>BF4 /M4</f>
        <v>4087.654189944134</v>
      </c>
      <c r="BH4" s="55">
        <v>7424624</v>
      </c>
      <c r="BI4" s="103">
        <v>2098924</v>
      </c>
      <c r="BJ4" s="55" t="s">
        <v>736</v>
      </c>
      <c r="BK4" s="55">
        <f>BH4 / M4</f>
        <v>4147.8346368715083</v>
      </c>
      <c r="BL4" s="55">
        <f>'log(debt) vs log(pop.) normaliz'!H4</f>
        <v>1.3250711554937187</v>
      </c>
    </row>
    <row r="5" spans="1:64" ht="300" x14ac:dyDescent="0.35">
      <c r="A5" s="4" t="s">
        <v>32</v>
      </c>
      <c r="B5" s="32" t="s">
        <v>667</v>
      </c>
      <c r="C5" s="76" t="s">
        <v>311</v>
      </c>
      <c r="D5" s="57"/>
      <c r="E5" s="43" t="s">
        <v>548</v>
      </c>
      <c r="F5" s="34" t="s">
        <v>314</v>
      </c>
      <c r="G5" s="59"/>
      <c r="H5" s="43" t="s">
        <v>586</v>
      </c>
      <c r="I5" s="42" t="s">
        <v>314</v>
      </c>
      <c r="J5" s="29" t="s">
        <v>411</v>
      </c>
      <c r="K5" s="29"/>
      <c r="L5" s="29">
        <v>7225</v>
      </c>
      <c r="M5" s="51">
        <v>7240</v>
      </c>
      <c r="N5" s="51">
        <f>((M5 - L5) / L5) * 100</f>
        <v>0.20761245674740486</v>
      </c>
      <c r="O5" s="51" t="str" cm="1">
        <f t="array" ref="O5">IF(M5 &gt; MEDIAN(_xlfn._xlws.FILTER(M:M, C:C="Y")),"Y","N")</f>
        <v>Y</v>
      </c>
      <c r="P5" s="51" t="str">
        <f>IF(N5 &gt;= 10.15, "Y", "N")</f>
        <v>N</v>
      </c>
      <c r="Q5" s="43" t="str" cm="1">
        <f t="array" ref="Q5">IF(N5 &gt; MEDIAN(_xlfn._xlws.FILTER(N:N, C:C="Y")), "Y", "N")</f>
        <v>N</v>
      </c>
      <c r="R5" s="42" t="s">
        <v>311</v>
      </c>
      <c r="S5" s="29" t="s">
        <v>688</v>
      </c>
      <c r="T5" s="51" t="s">
        <v>311</v>
      </c>
      <c r="U5" s="43" t="s">
        <v>311</v>
      </c>
      <c r="V5" s="42" t="s">
        <v>311</v>
      </c>
      <c r="W5" s="29" t="s">
        <v>570</v>
      </c>
      <c r="X5" s="29" t="s">
        <v>314</v>
      </c>
      <c r="Y5" s="51" t="str">
        <f t="shared" si="0"/>
        <v>N</v>
      </c>
      <c r="Z5" s="51" t="s">
        <v>311</v>
      </c>
      <c r="AA5" s="51" t="s">
        <v>314</v>
      </c>
      <c r="AB5" s="51" t="s">
        <v>314</v>
      </c>
      <c r="AC5" s="51" t="s">
        <v>314</v>
      </c>
      <c r="AD5" s="43" t="s">
        <v>314</v>
      </c>
      <c r="AE5" s="42" t="s">
        <v>311</v>
      </c>
      <c r="AF5" s="29" t="s">
        <v>559</v>
      </c>
      <c r="AG5" s="29" t="s">
        <v>314</v>
      </c>
      <c r="AH5" s="29" t="s">
        <v>314</v>
      </c>
      <c r="AI5" s="29" t="s">
        <v>311</v>
      </c>
      <c r="AJ5" s="29" t="s">
        <v>311</v>
      </c>
      <c r="AK5" s="29" t="s">
        <v>314</v>
      </c>
      <c r="AL5" s="29" t="s">
        <v>314</v>
      </c>
      <c r="AM5" s="29" t="s">
        <v>314</v>
      </c>
      <c r="AN5" s="43" t="s">
        <v>314</v>
      </c>
      <c r="AO5" s="42" t="s">
        <v>311</v>
      </c>
      <c r="AP5" s="29" t="s">
        <v>413</v>
      </c>
      <c r="AQ5" s="29" t="s">
        <v>314</v>
      </c>
      <c r="AR5" s="29" t="s">
        <v>314</v>
      </c>
      <c r="AS5" s="51" t="s">
        <v>314</v>
      </c>
      <c r="AT5" s="43" t="s">
        <v>311</v>
      </c>
      <c r="AU5" s="42" t="s">
        <v>311</v>
      </c>
      <c r="AV5" s="29" t="s">
        <v>408</v>
      </c>
      <c r="AW5" s="29" t="s">
        <v>311</v>
      </c>
      <c r="AX5" s="29" t="s">
        <v>311</v>
      </c>
      <c r="AY5" s="51" t="s">
        <v>314</v>
      </c>
      <c r="AZ5" s="51"/>
      <c r="BA5" s="66"/>
      <c r="BB5" s="29"/>
      <c r="BC5" s="43" t="s">
        <v>494</v>
      </c>
      <c r="BD5" s="66">
        <v>18032979</v>
      </c>
      <c r="BE5" s="29" t="s">
        <v>695</v>
      </c>
      <c r="BF5" s="29">
        <v>558518</v>
      </c>
      <c r="BG5" s="51">
        <f>BF5 /M5</f>
        <v>77.14337016574585</v>
      </c>
      <c r="BH5" s="51">
        <v>5933169</v>
      </c>
      <c r="BI5" s="102">
        <v>0</v>
      </c>
      <c r="BJ5" s="51" t="s">
        <v>737</v>
      </c>
      <c r="BK5" s="51">
        <f t="shared" ref="BK5:BK44" si="1">BH5 / M5</f>
        <v>819.49848066298341</v>
      </c>
      <c r="BL5" s="51">
        <f>'log(debt) vs log(pop.) normaliz'!H5</f>
        <v>-0.38414583435096183</v>
      </c>
    </row>
    <row r="6" spans="1:64" ht="300" x14ac:dyDescent="0.35">
      <c r="A6" s="5" t="s">
        <v>60</v>
      </c>
      <c r="B6" s="32" t="s">
        <v>40</v>
      </c>
      <c r="C6" s="78" t="s">
        <v>311</v>
      </c>
      <c r="D6" s="58"/>
      <c r="E6" s="45" t="s">
        <v>541</v>
      </c>
      <c r="F6" s="35" t="s">
        <v>311</v>
      </c>
      <c r="G6" s="58" t="s">
        <v>539</v>
      </c>
      <c r="H6" s="45" t="s">
        <v>598</v>
      </c>
      <c r="I6" s="44" t="s">
        <v>314</v>
      </c>
      <c r="J6" s="30" t="s">
        <v>542</v>
      </c>
      <c r="K6" s="30"/>
      <c r="L6" s="30">
        <v>37040</v>
      </c>
      <c r="M6" s="55">
        <v>38230</v>
      </c>
      <c r="N6" s="55">
        <f>((M6 - L6) / L6) * 100</f>
        <v>3.2127429805615551</v>
      </c>
      <c r="O6" s="55" t="str" cm="1">
        <f t="array" ref="O6">IF(M6 &gt; MEDIAN(_xlfn._xlws.FILTER(M:M, C:C="Y")),"Y","N")</f>
        <v>Y</v>
      </c>
      <c r="P6" s="30" t="str">
        <f t="shared" ref="P6:P44" si="2">IF(N6 &gt;= 10.15, "Y", "N")</f>
        <v>N</v>
      </c>
      <c r="Q6" s="45" t="str" cm="1">
        <f t="array" ref="Q6">IF(N6 &gt; MEDIAN(_xlfn._xlws.FILTER(N:N, C:C="Y")), "Y", "N")</f>
        <v>Y</v>
      </c>
      <c r="R6" s="44" t="s">
        <v>311</v>
      </c>
      <c r="S6" s="30" t="s">
        <v>543</v>
      </c>
      <c r="T6" s="55" t="s">
        <v>314</v>
      </c>
      <c r="U6" s="45" t="s">
        <v>311</v>
      </c>
      <c r="V6" s="44" t="s">
        <v>311</v>
      </c>
      <c r="W6" s="30" t="s">
        <v>544</v>
      </c>
      <c r="X6" s="30" t="s">
        <v>311</v>
      </c>
      <c r="Y6" s="55" t="str">
        <f t="shared" si="0"/>
        <v>Y</v>
      </c>
      <c r="Z6" s="55" t="s">
        <v>311</v>
      </c>
      <c r="AA6" s="55" t="s">
        <v>314</v>
      </c>
      <c r="AB6" s="55" t="s">
        <v>311</v>
      </c>
      <c r="AC6" s="55" t="s">
        <v>314</v>
      </c>
      <c r="AD6" s="45" t="s">
        <v>314</v>
      </c>
      <c r="AE6" s="44" t="s">
        <v>311</v>
      </c>
      <c r="AF6" s="30" t="s">
        <v>780</v>
      </c>
      <c r="AG6" s="30" t="s">
        <v>314</v>
      </c>
      <c r="AH6" s="30" t="s">
        <v>314</v>
      </c>
      <c r="AI6" s="30" t="s">
        <v>311</v>
      </c>
      <c r="AJ6" s="30" t="s">
        <v>311</v>
      </c>
      <c r="AK6" s="30" t="s">
        <v>314</v>
      </c>
      <c r="AL6" s="30" t="s">
        <v>314</v>
      </c>
      <c r="AM6" s="30" t="s">
        <v>314</v>
      </c>
      <c r="AN6" s="45" t="s">
        <v>314</v>
      </c>
      <c r="AO6" s="44" t="s">
        <v>311</v>
      </c>
      <c r="AP6" s="30" t="s">
        <v>540</v>
      </c>
      <c r="AQ6" s="30" t="s">
        <v>573</v>
      </c>
      <c r="AR6" s="30" t="s">
        <v>572</v>
      </c>
      <c r="AS6" s="55" t="s">
        <v>314</v>
      </c>
      <c r="AT6" s="45" t="s">
        <v>314</v>
      </c>
      <c r="AU6" s="44" t="s">
        <v>311</v>
      </c>
      <c r="AV6" s="30" t="s">
        <v>546</v>
      </c>
      <c r="AW6" s="30" t="s">
        <v>311</v>
      </c>
      <c r="AX6" s="30" t="s">
        <v>314</v>
      </c>
      <c r="AY6" s="55" t="s">
        <v>311</v>
      </c>
      <c r="AZ6" s="55" t="s">
        <v>664</v>
      </c>
      <c r="BA6" s="49"/>
      <c r="BB6" s="30"/>
      <c r="BC6" s="45" t="s">
        <v>538</v>
      </c>
      <c r="BD6" s="49">
        <v>145614128</v>
      </c>
      <c r="BE6" s="30" t="s">
        <v>696</v>
      </c>
      <c r="BF6" s="30">
        <v>30408003</v>
      </c>
      <c r="BG6" s="55">
        <f t="shared" ref="BG6:BG44" si="3">BF6 /M6</f>
        <v>795.39636411195397</v>
      </c>
      <c r="BH6" s="55">
        <v>63665714</v>
      </c>
      <c r="BI6" s="103">
        <v>0</v>
      </c>
      <c r="BJ6" s="55" t="s">
        <v>738</v>
      </c>
      <c r="BK6" s="55">
        <f>BH6 / M6</f>
        <v>1665.3338739210044</v>
      </c>
      <c r="BL6" s="55">
        <f>'log(debt) vs log(pop.) normaliz'!H6</f>
        <v>0.22066871228184226</v>
      </c>
    </row>
    <row r="7" spans="1:64" ht="162.5" x14ac:dyDescent="0.35">
      <c r="A7" s="5" t="s">
        <v>39</v>
      </c>
      <c r="B7" s="32" t="s">
        <v>47</v>
      </c>
      <c r="C7" s="76" t="s">
        <v>314</v>
      </c>
      <c r="D7" s="57"/>
      <c r="E7" s="43"/>
      <c r="F7" s="34"/>
      <c r="G7" s="59"/>
      <c r="H7" s="43" t="s">
        <v>598</v>
      </c>
      <c r="I7" s="42"/>
      <c r="J7" s="29"/>
      <c r="K7" s="29"/>
      <c r="L7" s="29">
        <v>11960</v>
      </c>
      <c r="M7" s="51">
        <v>12780</v>
      </c>
      <c r="N7" s="51">
        <f t="shared" ref="N7:N44" si="4">((M7 - L7) / L7) * 100</f>
        <v>6.8561872909698991</v>
      </c>
      <c r="O7" s="51" t="str" cm="1">
        <f t="array" ref="O7">IF(M7 &gt; MEDIAN(_xlfn._xlws.FILTER(M:M, C:C="Y")),"Y","N")</f>
        <v>Y</v>
      </c>
      <c r="P7" s="51" t="str">
        <f t="shared" si="2"/>
        <v>N</v>
      </c>
      <c r="Q7" s="43" t="str" cm="1">
        <f t="array" ref="Q7">IF(N7 &gt; MEDIAN(_xlfn._xlws.FILTER(N:N, C:C="Y")), "Y", "N")</f>
        <v>Y</v>
      </c>
      <c r="R7" s="42"/>
      <c r="S7" s="29"/>
      <c r="T7" s="51"/>
      <c r="U7" s="43"/>
      <c r="V7" s="42"/>
      <c r="W7" s="29"/>
      <c r="X7" s="29"/>
      <c r="Y7" s="51" t="str">
        <f t="shared" si="0"/>
        <v/>
      </c>
      <c r="Z7" s="51"/>
      <c r="AA7" s="51"/>
      <c r="AB7" s="51"/>
      <c r="AC7" s="51"/>
      <c r="AD7" s="43"/>
      <c r="AE7" s="42"/>
      <c r="AF7" s="29"/>
      <c r="AG7" s="29"/>
      <c r="AH7" s="29"/>
      <c r="AI7" s="29"/>
      <c r="AJ7" s="29"/>
      <c r="AK7" s="29"/>
      <c r="AL7" s="29"/>
      <c r="AM7" s="29"/>
      <c r="AN7" s="43"/>
      <c r="AO7" s="42"/>
      <c r="AP7" s="29"/>
      <c r="AQ7" s="29"/>
      <c r="AR7" s="29"/>
      <c r="AS7" s="51"/>
      <c r="AT7" s="43"/>
      <c r="AU7" s="42"/>
      <c r="AV7" s="29"/>
      <c r="AW7" s="29"/>
      <c r="AX7" s="29"/>
      <c r="AY7" s="51"/>
      <c r="AZ7" s="51"/>
      <c r="BA7" s="66"/>
      <c r="BB7" s="29"/>
      <c r="BC7" s="43"/>
      <c r="BD7" s="66">
        <v>49960615</v>
      </c>
      <c r="BE7" s="29" t="s">
        <v>697</v>
      </c>
      <c r="BF7" s="29">
        <v>10933802</v>
      </c>
      <c r="BG7" s="51">
        <f t="shared" si="3"/>
        <v>855.54006259780908</v>
      </c>
      <c r="BH7" s="51">
        <v>18018433</v>
      </c>
      <c r="BI7" s="102">
        <v>2819084</v>
      </c>
      <c r="BJ7" s="51" t="s">
        <v>739</v>
      </c>
      <c r="BK7" s="51">
        <f t="shared" si="1"/>
        <v>1409.8930359937401</v>
      </c>
      <c r="BL7" s="51">
        <f>'log(debt) vs log(pop.) normaliz'!H7</f>
        <v>0.12282095270573379</v>
      </c>
    </row>
    <row r="8" spans="1:64" ht="162.5" x14ac:dyDescent="0.35">
      <c r="A8" s="5" t="s">
        <v>39</v>
      </c>
      <c r="B8" s="32" t="s">
        <v>54</v>
      </c>
      <c r="C8" s="78" t="s">
        <v>314</v>
      </c>
      <c r="D8" s="58"/>
      <c r="E8" s="45"/>
      <c r="F8" s="35"/>
      <c r="G8" s="58"/>
      <c r="H8" s="45" t="s">
        <v>598</v>
      </c>
      <c r="I8" s="44"/>
      <c r="J8" s="30"/>
      <c r="K8" s="30"/>
      <c r="L8" s="30">
        <v>2145</v>
      </c>
      <c r="M8" s="55">
        <v>2465</v>
      </c>
      <c r="N8" s="55">
        <f t="shared" si="4"/>
        <v>14.918414918414918</v>
      </c>
      <c r="O8" s="55" t="str" cm="1">
        <f t="array" ref="O8">IF(M8 &gt; MEDIAN(_xlfn._xlws.FILTER(M:M, C:C="Y")),"Y","N")</f>
        <v>Y</v>
      </c>
      <c r="P8" s="30" t="str">
        <f t="shared" si="2"/>
        <v>Y</v>
      </c>
      <c r="Q8" s="45" t="str" cm="1">
        <f t="array" ref="Q8">IF(N8 &gt; MEDIAN(_xlfn._xlws.FILTER(N:N, C:C="Y")), "Y", "N")</f>
        <v>Y</v>
      </c>
      <c r="R8" s="44"/>
      <c r="S8" s="30"/>
      <c r="T8" s="55"/>
      <c r="U8" s="45"/>
      <c r="V8" s="44"/>
      <c r="W8" s="30"/>
      <c r="X8" s="30"/>
      <c r="Y8" s="55" t="str">
        <f t="shared" si="0"/>
        <v/>
      </c>
      <c r="Z8" s="55"/>
      <c r="AA8" s="55"/>
      <c r="AB8" s="55"/>
      <c r="AC8" s="55"/>
      <c r="AD8" s="45"/>
      <c r="AE8" s="44"/>
      <c r="AF8" s="30"/>
      <c r="AG8" s="30"/>
      <c r="AH8" s="30"/>
      <c r="AI8" s="30"/>
      <c r="AJ8" s="30"/>
      <c r="AK8" s="30"/>
      <c r="AL8" s="30"/>
      <c r="AM8" s="30"/>
      <c r="AN8" s="45"/>
      <c r="AO8" s="44"/>
      <c r="AP8" s="30"/>
      <c r="AQ8" s="30"/>
      <c r="AR8" s="30"/>
      <c r="AS8" s="55"/>
      <c r="AT8" s="45"/>
      <c r="AU8" s="44"/>
      <c r="AV8" s="30"/>
      <c r="AW8" s="30"/>
      <c r="AX8" s="30"/>
      <c r="AY8" s="55"/>
      <c r="AZ8" s="55"/>
      <c r="BA8" s="49"/>
      <c r="BB8" s="30"/>
      <c r="BC8" s="45"/>
      <c r="BD8" s="49">
        <v>7639897</v>
      </c>
      <c r="BE8" s="30" t="s">
        <v>698</v>
      </c>
      <c r="BF8" s="30">
        <v>5766734</v>
      </c>
      <c r="BG8" s="55">
        <f t="shared" si="3"/>
        <v>2339.4458417849901</v>
      </c>
      <c r="BH8" s="55">
        <v>6060122</v>
      </c>
      <c r="BI8" s="103">
        <v>286841</v>
      </c>
      <c r="BJ8" s="55" t="s">
        <v>740</v>
      </c>
      <c r="BK8" s="55">
        <f t="shared" si="1"/>
        <v>2458.4673427991888</v>
      </c>
      <c r="BL8" s="55">
        <f>'log(debt) vs log(pop.) normaliz'!H8</f>
        <v>0.78197168332982514</v>
      </c>
    </row>
    <row r="9" spans="1:64" ht="212.5" x14ac:dyDescent="0.35">
      <c r="A9" s="5" t="s">
        <v>39</v>
      </c>
      <c r="B9" s="32" t="s">
        <v>60</v>
      </c>
      <c r="C9" s="76" t="s">
        <v>311</v>
      </c>
      <c r="D9" s="57"/>
      <c r="E9" s="43"/>
      <c r="F9" s="34" t="s">
        <v>311</v>
      </c>
      <c r="G9" s="59" t="s">
        <v>383</v>
      </c>
      <c r="H9" s="43" t="s">
        <v>598</v>
      </c>
      <c r="I9" s="42" t="s">
        <v>311</v>
      </c>
      <c r="J9" s="29" t="s">
        <v>384</v>
      </c>
      <c r="K9" s="29" t="s">
        <v>591</v>
      </c>
      <c r="L9" s="29">
        <v>5695</v>
      </c>
      <c r="M9" s="51">
        <v>6575</v>
      </c>
      <c r="N9" s="51">
        <f t="shared" si="4"/>
        <v>15.452151009657594</v>
      </c>
      <c r="O9" s="51" t="str" cm="1">
        <f t="array" ref="O9">IF(M9 &gt; MEDIAN(_xlfn._xlws.FILTER(M:M, C:C="Y")),"Y","N")</f>
        <v>Y</v>
      </c>
      <c r="P9" s="51" t="str">
        <f t="shared" si="2"/>
        <v>Y</v>
      </c>
      <c r="Q9" s="43" t="str" cm="1">
        <f t="array" ref="Q9">IF(N9 &gt; MEDIAN(_xlfn._xlws.FILTER(N:N, C:C="Y")), "Y", "N")</f>
        <v>Y</v>
      </c>
      <c r="R9" s="42" t="s">
        <v>311</v>
      </c>
      <c r="S9" s="29" t="s">
        <v>385</v>
      </c>
      <c r="T9" s="43" t="s">
        <v>314</v>
      </c>
      <c r="U9" s="43" t="s">
        <v>314</v>
      </c>
      <c r="V9" s="42" t="s">
        <v>311</v>
      </c>
      <c r="W9" s="29" t="s">
        <v>386</v>
      </c>
      <c r="X9" s="29" t="s">
        <v>314</v>
      </c>
      <c r="Y9" s="51" t="str">
        <f t="shared" si="0"/>
        <v>Y</v>
      </c>
      <c r="Z9" s="51" t="s">
        <v>311</v>
      </c>
      <c r="AA9" s="51" t="s">
        <v>314</v>
      </c>
      <c r="AB9" s="51" t="s">
        <v>314</v>
      </c>
      <c r="AC9" s="51" t="s">
        <v>314</v>
      </c>
      <c r="AD9" s="43" t="s">
        <v>311</v>
      </c>
      <c r="AE9" s="42" t="s">
        <v>314</v>
      </c>
      <c r="AF9" s="29" t="s">
        <v>387</v>
      </c>
      <c r="AG9" s="29" t="s">
        <v>314</v>
      </c>
      <c r="AH9" s="29" t="s">
        <v>319</v>
      </c>
      <c r="AI9" s="29" t="s">
        <v>319</v>
      </c>
      <c r="AJ9" s="29" t="s">
        <v>319</v>
      </c>
      <c r="AK9" s="29" t="s">
        <v>319</v>
      </c>
      <c r="AL9" s="29" t="s">
        <v>319</v>
      </c>
      <c r="AM9" s="29" t="s">
        <v>319</v>
      </c>
      <c r="AN9" s="43" t="s">
        <v>319</v>
      </c>
      <c r="AO9" s="42" t="s">
        <v>319</v>
      </c>
      <c r="AP9" s="29" t="s">
        <v>390</v>
      </c>
      <c r="AQ9" s="29" t="s">
        <v>319</v>
      </c>
      <c r="AR9" s="29" t="s">
        <v>319</v>
      </c>
      <c r="AS9" s="29" t="s">
        <v>319</v>
      </c>
      <c r="AT9" s="43" t="s">
        <v>319</v>
      </c>
      <c r="AU9" s="42" t="s">
        <v>311</v>
      </c>
      <c r="AV9" s="29" t="s">
        <v>549</v>
      </c>
      <c r="AW9" s="29" t="s">
        <v>311</v>
      </c>
      <c r="AX9" s="29" t="s">
        <v>314</v>
      </c>
      <c r="AY9" s="51" t="s">
        <v>314</v>
      </c>
      <c r="AZ9" s="51"/>
      <c r="BA9" s="66" t="s">
        <v>389</v>
      </c>
      <c r="BB9" s="29"/>
      <c r="BC9" s="43" t="s">
        <v>393</v>
      </c>
      <c r="BD9" s="66">
        <v>18142398</v>
      </c>
      <c r="BE9" s="29" t="s">
        <v>699</v>
      </c>
      <c r="BF9" s="29">
        <v>5778202</v>
      </c>
      <c r="BG9" s="51">
        <f t="shared" si="3"/>
        <v>878.81399239543725</v>
      </c>
      <c r="BH9" s="51">
        <v>7023570</v>
      </c>
      <c r="BI9" s="102">
        <v>294582</v>
      </c>
      <c r="BJ9" s="51" t="s">
        <v>741</v>
      </c>
      <c r="BK9" s="51">
        <f t="shared" si="1"/>
        <v>1068.2235741444867</v>
      </c>
      <c r="BL9" s="51">
        <f>'log(debt) vs log(pop.) normaliz'!H9</f>
        <v>-0.11304852105728891</v>
      </c>
    </row>
    <row r="10" spans="1:64" ht="162.5" x14ac:dyDescent="0.35">
      <c r="A10" s="5" t="s">
        <v>39</v>
      </c>
      <c r="B10" s="32" t="s">
        <v>67</v>
      </c>
      <c r="C10" s="78" t="s">
        <v>314</v>
      </c>
      <c r="D10" s="58"/>
      <c r="E10" s="45"/>
      <c r="F10" s="35"/>
      <c r="G10" s="58"/>
      <c r="H10" s="45" t="s">
        <v>598</v>
      </c>
      <c r="I10" s="44"/>
      <c r="J10" s="30"/>
      <c r="K10" s="30"/>
      <c r="L10" s="30">
        <v>2430</v>
      </c>
      <c r="M10" s="55">
        <v>3160</v>
      </c>
      <c r="N10" s="55">
        <f t="shared" si="4"/>
        <v>30.041152263374489</v>
      </c>
      <c r="O10" s="55" t="str" cm="1">
        <f t="array" ref="O10">IF(M10 &gt; MEDIAN(_xlfn._xlws.FILTER(M:M, C:C="Y")),"Y","N")</f>
        <v>Y</v>
      </c>
      <c r="P10" s="30" t="str">
        <f t="shared" si="2"/>
        <v>Y</v>
      </c>
      <c r="Q10" s="45" t="str" cm="1">
        <f t="array" ref="Q10">IF(N10 &gt; MEDIAN(_xlfn._xlws.FILTER(N:N, C:C="Y")), "Y", "N")</f>
        <v>Y</v>
      </c>
      <c r="R10" s="44"/>
      <c r="S10" s="30"/>
      <c r="T10" s="55"/>
      <c r="U10" s="45"/>
      <c r="V10" s="44"/>
      <c r="W10" s="30"/>
      <c r="X10" s="30"/>
      <c r="Y10" s="55" t="str">
        <f t="shared" si="0"/>
        <v/>
      </c>
      <c r="Z10" s="55"/>
      <c r="AA10" s="55"/>
      <c r="AB10" s="55"/>
      <c r="AC10" s="55"/>
      <c r="AD10" s="45"/>
      <c r="AE10" s="44"/>
      <c r="AF10" s="30"/>
      <c r="AG10" s="30"/>
      <c r="AH10" s="30"/>
      <c r="AI10" s="30"/>
      <c r="AJ10" s="30"/>
      <c r="AK10" s="30"/>
      <c r="AL10" s="30"/>
      <c r="AM10" s="30"/>
      <c r="AN10" s="45"/>
      <c r="AO10" s="44"/>
      <c r="AP10" s="30"/>
      <c r="AQ10" s="30"/>
      <c r="AR10" s="30"/>
      <c r="AS10" s="55"/>
      <c r="AT10" s="45"/>
      <c r="AU10" s="44"/>
      <c r="AV10" s="30"/>
      <c r="AW10" s="30"/>
      <c r="AX10" s="30"/>
      <c r="AY10" s="55"/>
      <c r="AZ10" s="55"/>
      <c r="BA10" s="49"/>
      <c r="BB10" s="30"/>
      <c r="BC10" s="45"/>
      <c r="BD10" s="49">
        <v>10910954</v>
      </c>
      <c r="BE10" s="30" t="s">
        <v>700</v>
      </c>
      <c r="BF10" s="30">
        <v>3807013</v>
      </c>
      <c r="BG10" s="55">
        <f t="shared" si="3"/>
        <v>1204.7509493670887</v>
      </c>
      <c r="BH10" s="55">
        <v>4170942</v>
      </c>
      <c r="BI10" s="103">
        <v>1177934</v>
      </c>
      <c r="BJ10" s="55" t="s">
        <v>742</v>
      </c>
      <c r="BK10" s="55">
        <f t="shared" si="1"/>
        <v>1319.9183544303798</v>
      </c>
      <c r="BL10" s="55">
        <f>'log(debt) vs log(pop.) normaliz'!H10</f>
        <v>0.14443879926133008</v>
      </c>
    </row>
    <row r="11" spans="1:64" ht="237.5" x14ac:dyDescent="0.35">
      <c r="A11" s="6" t="s">
        <v>74</v>
      </c>
      <c r="B11" s="32" t="s">
        <v>75</v>
      </c>
      <c r="C11" s="76" t="s">
        <v>311</v>
      </c>
      <c r="D11" s="57"/>
      <c r="E11" s="43" t="s">
        <v>310</v>
      </c>
      <c r="F11" s="34" t="s">
        <v>314</v>
      </c>
      <c r="G11" s="59" t="s">
        <v>315</v>
      </c>
      <c r="H11" s="43" t="s">
        <v>599</v>
      </c>
      <c r="I11" s="42" t="s">
        <v>314</v>
      </c>
      <c r="J11" s="29" t="s">
        <v>313</v>
      </c>
      <c r="K11" s="29" t="s">
        <v>600</v>
      </c>
      <c r="L11" s="29">
        <v>1100</v>
      </c>
      <c r="M11" s="51">
        <v>1005</v>
      </c>
      <c r="N11" s="51">
        <f t="shared" si="4"/>
        <v>-8.6363636363636367</v>
      </c>
      <c r="O11" s="51" t="str" cm="1">
        <f t="array" ref="O11">IF(M11 &gt; MEDIAN(_xlfn._xlws.FILTER(M:M, C:C="Y")),"Y","N")</f>
        <v>N</v>
      </c>
      <c r="P11" s="51" t="str">
        <f t="shared" si="2"/>
        <v>N</v>
      </c>
      <c r="Q11" s="43" t="str" cm="1">
        <f t="array" ref="Q11">IF(N11 &gt; MEDIAN(_xlfn._xlws.FILTER(N:N, C:C="Y")), "Y", "N")</f>
        <v>N</v>
      </c>
      <c r="R11" s="42" t="s">
        <v>314</v>
      </c>
      <c r="S11" s="29" t="s">
        <v>313</v>
      </c>
      <c r="T11" s="51" t="s">
        <v>314</v>
      </c>
      <c r="U11" s="43" t="s">
        <v>314</v>
      </c>
      <c r="V11" s="42" t="s">
        <v>314</v>
      </c>
      <c r="W11" s="29" t="s">
        <v>316</v>
      </c>
      <c r="X11" s="29" t="s">
        <v>314</v>
      </c>
      <c r="Y11" s="29" t="str">
        <f t="shared" si="0"/>
        <v>N</v>
      </c>
      <c r="Z11" s="29" t="s">
        <v>319</v>
      </c>
      <c r="AA11" s="29" t="s">
        <v>319</v>
      </c>
      <c r="AB11" s="29" t="s">
        <v>319</v>
      </c>
      <c r="AC11" s="51" t="s">
        <v>319</v>
      </c>
      <c r="AD11" s="43" t="s">
        <v>319</v>
      </c>
      <c r="AE11" s="42" t="s">
        <v>311</v>
      </c>
      <c r="AF11" s="29" t="s">
        <v>318</v>
      </c>
      <c r="AG11" s="29" t="s">
        <v>311</v>
      </c>
      <c r="AH11" s="29" t="s">
        <v>314</v>
      </c>
      <c r="AI11" s="29" t="s">
        <v>314</v>
      </c>
      <c r="AJ11" s="29" t="s">
        <v>314</v>
      </c>
      <c r="AK11" s="29" t="s">
        <v>314</v>
      </c>
      <c r="AL11" s="29" t="s">
        <v>314</v>
      </c>
      <c r="AM11" s="29" t="s">
        <v>314</v>
      </c>
      <c r="AN11" s="43" t="s">
        <v>311</v>
      </c>
      <c r="AO11" s="42" t="s">
        <v>319</v>
      </c>
      <c r="AP11" s="29"/>
      <c r="AQ11" s="29" t="s">
        <v>319</v>
      </c>
      <c r="AR11" s="29" t="s">
        <v>319</v>
      </c>
      <c r="AS11" s="29" t="s">
        <v>319</v>
      </c>
      <c r="AT11" s="43" t="s">
        <v>319</v>
      </c>
      <c r="AU11" s="42" t="s">
        <v>311</v>
      </c>
      <c r="AV11" s="29" t="s">
        <v>574</v>
      </c>
      <c r="AW11" s="29" t="s">
        <v>311</v>
      </c>
      <c r="AX11" s="29" t="s">
        <v>314</v>
      </c>
      <c r="AY11" s="51" t="s">
        <v>314</v>
      </c>
      <c r="AZ11" s="51"/>
      <c r="BA11" s="66" t="s">
        <v>550</v>
      </c>
      <c r="BB11" s="29"/>
      <c r="BC11" s="43" t="s">
        <v>323</v>
      </c>
      <c r="BD11" s="66">
        <v>4919773</v>
      </c>
      <c r="BE11" s="29" t="s">
        <v>701</v>
      </c>
      <c r="BF11" s="29">
        <v>400766</v>
      </c>
      <c r="BG11" s="51">
        <f t="shared" si="3"/>
        <v>398.77213930348256</v>
      </c>
      <c r="BH11" s="51">
        <v>432112</v>
      </c>
      <c r="BI11" s="102">
        <v>297105</v>
      </c>
      <c r="BJ11" s="51" t="s">
        <v>743</v>
      </c>
      <c r="BK11" s="51">
        <f t="shared" si="1"/>
        <v>429.96218905472637</v>
      </c>
      <c r="BL11" s="51">
        <f>'log(debt) vs log(pop.) normaliz'!H11</f>
        <v>-0.90540152103779903</v>
      </c>
    </row>
    <row r="12" spans="1:64" ht="387.5" x14ac:dyDescent="0.35">
      <c r="A12" s="2" t="s">
        <v>83</v>
      </c>
      <c r="B12" s="32" t="s">
        <v>84</v>
      </c>
      <c r="C12" s="78" t="s">
        <v>311</v>
      </c>
      <c r="D12" s="58"/>
      <c r="E12" s="45" t="s">
        <v>325</v>
      </c>
      <c r="F12" s="35" t="s">
        <v>314</v>
      </c>
      <c r="G12" s="58" t="s">
        <v>326</v>
      </c>
      <c r="H12" s="45" t="s">
        <v>586</v>
      </c>
      <c r="I12" s="44" t="s">
        <v>314</v>
      </c>
      <c r="J12" s="30" t="s">
        <v>328</v>
      </c>
      <c r="K12" s="30"/>
      <c r="L12" s="30">
        <v>16850</v>
      </c>
      <c r="M12" s="30">
        <v>17100</v>
      </c>
      <c r="N12" s="55">
        <f t="shared" si="4"/>
        <v>1.4836795252225521</v>
      </c>
      <c r="O12" s="55" t="str" cm="1">
        <f t="array" ref="O12">IF(M12 &gt; MEDIAN(_xlfn._xlws.FILTER(M:M, C:C="Y")),"Y","N")</f>
        <v>Y</v>
      </c>
      <c r="P12" s="30" t="str">
        <f t="shared" si="2"/>
        <v>N</v>
      </c>
      <c r="Q12" s="45" t="str" cm="1">
        <f t="array" ref="Q12">IF(N12 &gt; MEDIAN(_xlfn._xlws.FILTER(N:N, C:C="Y")), "Y", "N")</f>
        <v>N</v>
      </c>
      <c r="R12" s="44" t="s">
        <v>314</v>
      </c>
      <c r="S12" s="30" t="s">
        <v>689</v>
      </c>
      <c r="T12" s="55" t="s">
        <v>314</v>
      </c>
      <c r="U12" s="45" t="s">
        <v>314</v>
      </c>
      <c r="V12" s="44" t="s">
        <v>314</v>
      </c>
      <c r="W12" s="30" t="s">
        <v>419</v>
      </c>
      <c r="X12" s="30" t="s">
        <v>314</v>
      </c>
      <c r="Y12" s="30" t="str">
        <f t="shared" si="0"/>
        <v>N</v>
      </c>
      <c r="Z12" s="30" t="s">
        <v>319</v>
      </c>
      <c r="AA12" s="30" t="s">
        <v>319</v>
      </c>
      <c r="AB12" s="30" t="s">
        <v>319</v>
      </c>
      <c r="AC12" s="55" t="s">
        <v>319</v>
      </c>
      <c r="AD12" s="45" t="s">
        <v>319</v>
      </c>
      <c r="AE12" s="44" t="s">
        <v>311</v>
      </c>
      <c r="AF12" s="30" t="s">
        <v>329</v>
      </c>
      <c r="AG12" s="30" t="s">
        <v>311</v>
      </c>
      <c r="AH12" s="30" t="s">
        <v>314</v>
      </c>
      <c r="AI12" s="30" t="s">
        <v>314</v>
      </c>
      <c r="AJ12" s="30" t="s">
        <v>311</v>
      </c>
      <c r="AK12" s="30" t="s">
        <v>314</v>
      </c>
      <c r="AL12" s="30" t="s">
        <v>314</v>
      </c>
      <c r="AM12" s="30" t="s">
        <v>314</v>
      </c>
      <c r="AN12" s="45" t="s">
        <v>311</v>
      </c>
      <c r="AO12" s="44" t="s">
        <v>311</v>
      </c>
      <c r="AP12" s="30" t="s">
        <v>579</v>
      </c>
      <c r="AQ12" s="30" t="s">
        <v>311</v>
      </c>
      <c r="AR12" s="30" t="s">
        <v>314</v>
      </c>
      <c r="AS12" s="55" t="s">
        <v>314</v>
      </c>
      <c r="AT12" s="45" t="s">
        <v>314</v>
      </c>
      <c r="AU12" s="44" t="s">
        <v>311</v>
      </c>
      <c r="AV12" s="30" t="s">
        <v>331</v>
      </c>
      <c r="AW12" s="30" t="s">
        <v>311</v>
      </c>
      <c r="AX12" s="30" t="s">
        <v>314</v>
      </c>
      <c r="AY12" s="55" t="s">
        <v>311</v>
      </c>
      <c r="AZ12" s="55" t="s">
        <v>665</v>
      </c>
      <c r="BA12" s="49"/>
      <c r="BB12" s="30"/>
      <c r="BC12" s="45" t="s">
        <v>332</v>
      </c>
      <c r="BD12" s="49">
        <v>62604391</v>
      </c>
      <c r="BE12" s="30" t="s">
        <v>702</v>
      </c>
      <c r="BF12" s="30">
        <v>10472462</v>
      </c>
      <c r="BG12" s="55">
        <f t="shared" si="3"/>
        <v>612.4246783625731</v>
      </c>
      <c r="BH12" s="55">
        <v>38656768</v>
      </c>
      <c r="BI12" s="103">
        <v>9764209</v>
      </c>
      <c r="BJ12" s="55" t="s">
        <v>744</v>
      </c>
      <c r="BK12" s="55">
        <f t="shared" si="1"/>
        <v>2260.6297076023393</v>
      </c>
      <c r="BL12" s="55">
        <f>'log(debt) vs log(pop.) normaliz'!H12</f>
        <v>0.57670278034249733</v>
      </c>
    </row>
    <row r="13" spans="1:64" ht="162.5" x14ac:dyDescent="0.35">
      <c r="A13" s="2" t="s">
        <v>83</v>
      </c>
      <c r="B13" s="32" t="s">
        <v>89</v>
      </c>
      <c r="C13" s="76" t="s">
        <v>314</v>
      </c>
      <c r="D13" s="57"/>
      <c r="E13" s="43"/>
      <c r="F13" s="34"/>
      <c r="G13" s="59"/>
      <c r="H13" s="43" t="s">
        <v>586</v>
      </c>
      <c r="I13" s="42"/>
      <c r="J13" s="29"/>
      <c r="K13" s="29"/>
      <c r="L13" s="29">
        <v>8625</v>
      </c>
      <c r="M13" s="51">
        <v>8800</v>
      </c>
      <c r="N13" s="51">
        <f t="shared" si="4"/>
        <v>2.0289855072463765</v>
      </c>
      <c r="O13" s="51" t="str" cm="1">
        <f t="array" ref="O13">IF(M13 &gt; MEDIAN(_xlfn._xlws.FILTER(M:M, C:C="Y")),"Y","N")</f>
        <v>Y</v>
      </c>
      <c r="P13" s="51" t="str">
        <f t="shared" si="2"/>
        <v>N</v>
      </c>
      <c r="Q13" s="43" t="str" cm="1">
        <f t="array" ref="Q13">IF(N13 &gt; MEDIAN(_xlfn._xlws.FILTER(N:N, C:C="Y")), "Y", "N")</f>
        <v>N</v>
      </c>
      <c r="R13" s="42"/>
      <c r="S13" s="29"/>
      <c r="T13" s="51"/>
      <c r="U13" s="43"/>
      <c r="V13" s="42"/>
      <c r="W13" s="29"/>
      <c r="X13" s="29"/>
      <c r="Y13" s="51" t="str">
        <f t="shared" si="0"/>
        <v/>
      </c>
      <c r="Z13" s="51"/>
      <c r="AA13" s="51"/>
      <c r="AB13" s="51"/>
      <c r="AC13" s="51"/>
      <c r="AD13" s="43"/>
      <c r="AE13" s="42"/>
      <c r="AF13" s="29"/>
      <c r="AG13" s="29"/>
      <c r="AH13" s="29"/>
      <c r="AI13" s="29"/>
      <c r="AJ13" s="29"/>
      <c r="AK13" s="29"/>
      <c r="AL13" s="29"/>
      <c r="AM13" s="29"/>
      <c r="AN13" s="43"/>
      <c r="AO13" s="42"/>
      <c r="AP13" s="29"/>
      <c r="AQ13" s="29"/>
      <c r="AR13" s="29"/>
      <c r="AS13" s="51"/>
      <c r="AT13" s="43"/>
      <c r="AU13" s="42"/>
      <c r="AV13" s="29"/>
      <c r="AW13" s="29"/>
      <c r="AX13" s="29"/>
      <c r="AY13" s="51"/>
      <c r="AZ13" s="51"/>
      <c r="BA13" s="66"/>
      <c r="BB13" s="29"/>
      <c r="BC13" s="43"/>
      <c r="BD13" s="66">
        <v>35544582</v>
      </c>
      <c r="BE13" s="29" t="s">
        <v>703</v>
      </c>
      <c r="BF13" s="29">
        <v>14189572</v>
      </c>
      <c r="BG13" s="51">
        <f t="shared" si="3"/>
        <v>1612.4513636363636</v>
      </c>
      <c r="BH13" s="51">
        <v>25208098</v>
      </c>
      <c r="BI13" s="102">
        <v>11630621</v>
      </c>
      <c r="BJ13" s="51" t="s">
        <v>745</v>
      </c>
      <c r="BK13" s="51">
        <f t="shared" si="1"/>
        <v>2864.556590909091</v>
      </c>
      <c r="BL13" s="51">
        <f>'log(debt) vs log(pop.) normaliz'!H13</f>
        <v>0.85510269968346009</v>
      </c>
    </row>
    <row r="14" spans="1:64" ht="162.5" x14ac:dyDescent="0.35">
      <c r="A14" s="2" t="s">
        <v>83</v>
      </c>
      <c r="B14" s="32" t="s">
        <v>96</v>
      </c>
      <c r="C14" s="78" t="s">
        <v>314</v>
      </c>
      <c r="D14" s="58"/>
      <c r="E14" s="45"/>
      <c r="F14" s="35"/>
      <c r="G14" s="58"/>
      <c r="H14" s="45" t="s">
        <v>586</v>
      </c>
      <c r="I14" s="44"/>
      <c r="J14" s="30"/>
      <c r="K14" s="30"/>
      <c r="L14" s="30">
        <v>5880</v>
      </c>
      <c r="M14" s="55">
        <v>7630</v>
      </c>
      <c r="N14" s="55">
        <f t="shared" si="4"/>
        <v>29.761904761904763</v>
      </c>
      <c r="O14" s="55" t="str" cm="1">
        <f t="array" ref="O14">IF(M14 &gt; MEDIAN(_xlfn._xlws.FILTER(M:M, C:C="Y")),"Y","N")</f>
        <v>Y</v>
      </c>
      <c r="P14" s="30" t="str">
        <f t="shared" si="2"/>
        <v>Y</v>
      </c>
      <c r="Q14" s="45" t="str" cm="1">
        <f t="array" ref="Q14">IF(N14 &gt; MEDIAN(_xlfn._xlws.FILTER(N:N, C:C="Y")), "Y", "N")</f>
        <v>Y</v>
      </c>
      <c r="R14" s="44"/>
      <c r="S14" s="30"/>
      <c r="T14" s="55"/>
      <c r="U14" s="45"/>
      <c r="V14" s="44"/>
      <c r="W14" s="30"/>
      <c r="X14" s="30"/>
      <c r="Y14" s="55" t="str">
        <f t="shared" si="0"/>
        <v/>
      </c>
      <c r="Z14" s="55"/>
      <c r="AA14" s="55"/>
      <c r="AB14" s="55"/>
      <c r="AC14" s="55"/>
      <c r="AD14" s="45"/>
      <c r="AE14" s="44"/>
      <c r="AF14" s="30"/>
      <c r="AG14" s="30"/>
      <c r="AH14" s="30"/>
      <c r="AI14" s="30"/>
      <c r="AJ14" s="30"/>
      <c r="AK14" s="30"/>
      <c r="AL14" s="30"/>
      <c r="AM14" s="30"/>
      <c r="AN14" s="45"/>
      <c r="AO14" s="44"/>
      <c r="AP14" s="30"/>
      <c r="AQ14" s="30"/>
      <c r="AR14" s="30"/>
      <c r="AS14" s="55"/>
      <c r="AT14" s="45"/>
      <c r="AU14" s="44"/>
      <c r="AV14" s="30"/>
      <c r="AW14" s="30"/>
      <c r="AX14" s="30"/>
      <c r="AY14" s="55"/>
      <c r="AZ14" s="55"/>
      <c r="BA14" s="49"/>
      <c r="BB14" s="30"/>
      <c r="BC14" s="45"/>
      <c r="BD14" s="49">
        <v>30517848</v>
      </c>
      <c r="BE14" s="30" t="s">
        <v>704</v>
      </c>
      <c r="BF14" s="30">
        <v>10179412</v>
      </c>
      <c r="BG14" s="55">
        <f t="shared" si="3"/>
        <v>1334.1300131061598</v>
      </c>
      <c r="BH14" s="55">
        <v>14252693</v>
      </c>
      <c r="BI14" s="103">
        <v>1298157</v>
      </c>
      <c r="BJ14" s="55" t="s">
        <v>746</v>
      </c>
      <c r="BK14" s="55">
        <f t="shared" si="1"/>
        <v>1867.9807339449542</v>
      </c>
      <c r="BL14" s="55">
        <f>'log(debt) vs log(pop.) normaliz'!H14</f>
        <v>0.43648712666839273</v>
      </c>
    </row>
    <row r="15" spans="1:64" ht="162.5" x14ac:dyDescent="0.35">
      <c r="A15" s="2" t="s">
        <v>83</v>
      </c>
      <c r="B15" s="32" t="s">
        <v>103</v>
      </c>
      <c r="C15" s="76" t="s">
        <v>314</v>
      </c>
      <c r="D15" s="57"/>
      <c r="E15" s="43"/>
      <c r="F15" s="34"/>
      <c r="G15" s="59"/>
      <c r="H15" s="43" t="s">
        <v>586</v>
      </c>
      <c r="I15" s="42"/>
      <c r="J15" s="29"/>
      <c r="K15" s="29"/>
      <c r="L15" s="29">
        <v>4075</v>
      </c>
      <c r="M15" s="51">
        <v>4135</v>
      </c>
      <c r="N15" s="51">
        <f t="shared" si="4"/>
        <v>1.4723926380368098</v>
      </c>
      <c r="O15" s="51" t="str" cm="1">
        <f t="array" ref="O15">IF(M15 &gt; MEDIAN(_xlfn._xlws.FILTER(M:M, C:C="Y")),"Y","N")</f>
        <v>Y</v>
      </c>
      <c r="P15" s="51" t="str">
        <f t="shared" si="2"/>
        <v>N</v>
      </c>
      <c r="Q15" s="43" t="str" cm="1">
        <f t="array" ref="Q15">IF(N15 &gt; MEDIAN(_xlfn._xlws.FILTER(N:N, C:C="Y")), "Y", "N")</f>
        <v>N</v>
      </c>
      <c r="R15" s="42"/>
      <c r="S15" s="29"/>
      <c r="T15" s="51"/>
      <c r="U15" s="43"/>
      <c r="V15" s="42"/>
      <c r="W15" s="29"/>
      <c r="X15" s="29"/>
      <c r="Y15" s="51" t="str">
        <f t="shared" si="0"/>
        <v/>
      </c>
      <c r="Z15" s="51"/>
      <c r="AA15" s="51"/>
      <c r="AB15" s="51"/>
      <c r="AC15" s="51"/>
      <c r="AD15" s="43"/>
      <c r="AE15" s="42"/>
      <c r="AF15" s="29"/>
      <c r="AG15" s="29"/>
      <c r="AH15" s="29"/>
      <c r="AI15" s="29"/>
      <c r="AJ15" s="29"/>
      <c r="AK15" s="29"/>
      <c r="AL15" s="29"/>
      <c r="AM15" s="29"/>
      <c r="AN15" s="43"/>
      <c r="AO15" s="42"/>
      <c r="AP15" s="29"/>
      <c r="AQ15" s="29"/>
      <c r="AR15" s="29"/>
      <c r="AS15" s="51"/>
      <c r="AT15" s="43"/>
      <c r="AU15" s="42"/>
      <c r="AV15" s="29"/>
      <c r="AW15" s="29"/>
      <c r="AX15" s="29"/>
      <c r="AY15" s="51"/>
      <c r="AZ15" s="51"/>
      <c r="BA15" s="66"/>
      <c r="BB15" s="29"/>
      <c r="BC15" s="43"/>
      <c r="BD15" s="66">
        <v>12726205</v>
      </c>
      <c r="BE15" s="29" t="s">
        <v>705</v>
      </c>
      <c r="BF15" s="29">
        <v>2072244</v>
      </c>
      <c r="BG15" s="51">
        <f t="shared" si="3"/>
        <v>501.14727932285371</v>
      </c>
      <c r="BH15" s="51">
        <v>3976430</v>
      </c>
      <c r="BI15" s="102">
        <v>78947</v>
      </c>
      <c r="BJ15" s="51" t="s">
        <v>747</v>
      </c>
      <c r="BK15" s="51">
        <f t="shared" si="1"/>
        <v>961.65175332527201</v>
      </c>
      <c r="BL15" s="51">
        <f>'log(debt) vs log(pop.) normaliz'!H15</f>
        <v>-0.18908544317663889</v>
      </c>
    </row>
    <row r="16" spans="1:64" ht="175" x14ac:dyDescent="0.35">
      <c r="A16" s="2" t="s">
        <v>83</v>
      </c>
      <c r="B16" s="32" t="s">
        <v>110</v>
      </c>
      <c r="C16" s="78" t="s">
        <v>311</v>
      </c>
      <c r="D16" s="58"/>
      <c r="E16" s="45" t="s">
        <v>350</v>
      </c>
      <c r="F16" s="35" t="s">
        <v>311</v>
      </c>
      <c r="G16" s="58" t="s">
        <v>343</v>
      </c>
      <c r="H16" s="45" t="s">
        <v>586</v>
      </c>
      <c r="I16" s="44" t="s">
        <v>314</v>
      </c>
      <c r="J16" s="30" t="s">
        <v>344</v>
      </c>
      <c r="K16" s="30" t="s">
        <v>592</v>
      </c>
      <c r="L16" s="30">
        <v>3130</v>
      </c>
      <c r="M16" s="55">
        <v>3505</v>
      </c>
      <c r="N16" s="55">
        <f t="shared" si="4"/>
        <v>11.980830670926517</v>
      </c>
      <c r="O16" s="55" t="str" cm="1">
        <f t="array" ref="O16">IF(M16 &gt; MEDIAN(_xlfn._xlws.FILTER(M:M, C:C="Y")),"Y","N")</f>
        <v>Y</v>
      </c>
      <c r="P16" s="30" t="str">
        <f t="shared" si="2"/>
        <v>Y</v>
      </c>
      <c r="Q16" s="45" t="str" cm="1">
        <f t="array" ref="Q16">IF(N16 &gt; MEDIAN(_xlfn._xlws.FILTER(N:N, C:C="Y")), "Y", "N")</f>
        <v>Y</v>
      </c>
      <c r="R16" s="44" t="s">
        <v>314</v>
      </c>
      <c r="S16" s="30" t="s">
        <v>345</v>
      </c>
      <c r="T16" s="55" t="s">
        <v>314</v>
      </c>
      <c r="U16" s="45" t="s">
        <v>314</v>
      </c>
      <c r="V16" s="44" t="s">
        <v>311</v>
      </c>
      <c r="W16" s="30" t="s">
        <v>342</v>
      </c>
      <c r="X16" s="30" t="s">
        <v>314</v>
      </c>
      <c r="Y16" s="55" t="str">
        <f t="shared" si="0"/>
        <v>N</v>
      </c>
      <c r="Z16" s="55" t="s">
        <v>311</v>
      </c>
      <c r="AA16" s="55" t="s">
        <v>314</v>
      </c>
      <c r="AB16" s="55" t="s">
        <v>314</v>
      </c>
      <c r="AC16" s="55" t="s">
        <v>314</v>
      </c>
      <c r="AD16" s="45" t="s">
        <v>314</v>
      </c>
      <c r="AE16" s="44" t="s">
        <v>311</v>
      </c>
      <c r="AF16" s="30" t="s">
        <v>551</v>
      </c>
      <c r="AG16" s="30" t="s">
        <v>314</v>
      </c>
      <c r="AH16" s="30" t="s">
        <v>314</v>
      </c>
      <c r="AI16" s="30" t="s">
        <v>311</v>
      </c>
      <c r="AJ16" s="30" t="s">
        <v>314</v>
      </c>
      <c r="AK16" s="30" t="s">
        <v>311</v>
      </c>
      <c r="AL16" s="30" t="s">
        <v>314</v>
      </c>
      <c r="AM16" s="30" t="s">
        <v>311</v>
      </c>
      <c r="AN16" s="45" t="s">
        <v>314</v>
      </c>
      <c r="AO16" s="44" t="s">
        <v>311</v>
      </c>
      <c r="AP16" s="30" t="s">
        <v>575</v>
      </c>
      <c r="AQ16" s="30" t="s">
        <v>314</v>
      </c>
      <c r="AR16" s="30" t="s">
        <v>314</v>
      </c>
      <c r="AS16" s="55" t="s">
        <v>311</v>
      </c>
      <c r="AT16" s="45" t="s">
        <v>311</v>
      </c>
      <c r="AU16" s="44" t="s">
        <v>311</v>
      </c>
      <c r="AV16" s="30" t="s">
        <v>348</v>
      </c>
      <c r="AW16" s="30" t="s">
        <v>311</v>
      </c>
      <c r="AX16" s="30" t="s">
        <v>311</v>
      </c>
      <c r="AY16" s="55" t="s">
        <v>314</v>
      </c>
      <c r="AZ16" s="55"/>
      <c r="BA16" s="49" t="s">
        <v>349</v>
      </c>
      <c r="BB16" s="30"/>
      <c r="BC16" s="45" t="s">
        <v>351</v>
      </c>
      <c r="BD16" s="49">
        <v>7995149</v>
      </c>
      <c r="BE16" s="30" t="s">
        <v>706</v>
      </c>
      <c r="BF16" s="30">
        <v>437395</v>
      </c>
      <c r="BG16" s="55">
        <f t="shared" si="3"/>
        <v>124.79172610556348</v>
      </c>
      <c r="BH16" s="55">
        <v>1840144</v>
      </c>
      <c r="BI16" s="103">
        <v>0</v>
      </c>
      <c r="BJ16" s="55" t="s">
        <v>748</v>
      </c>
      <c r="BK16" s="55">
        <f t="shared" si="1"/>
        <v>525.00542082738946</v>
      </c>
      <c r="BL16" s="55">
        <f>'log(debt) vs log(pop.) normaliz'!H16</f>
        <v>-0.78397098289786626</v>
      </c>
    </row>
    <row r="17" spans="1:64" ht="162.5" x14ac:dyDescent="0.35">
      <c r="A17" s="2" t="s">
        <v>83</v>
      </c>
      <c r="B17" s="32" t="s">
        <v>117</v>
      </c>
      <c r="C17" s="76" t="s">
        <v>314</v>
      </c>
      <c r="D17" s="57"/>
      <c r="E17" s="43"/>
      <c r="F17" s="34"/>
      <c r="G17" s="59"/>
      <c r="H17" s="43" t="s">
        <v>586</v>
      </c>
      <c r="I17" s="42"/>
      <c r="J17" s="29"/>
      <c r="K17" s="29"/>
      <c r="L17" s="29">
        <v>2110</v>
      </c>
      <c r="M17" s="51">
        <v>2325</v>
      </c>
      <c r="N17" s="51">
        <f t="shared" si="4"/>
        <v>10.189573459715639</v>
      </c>
      <c r="O17" s="51" t="str" cm="1">
        <f t="array" ref="O17">IF(M17 &gt; MEDIAN(_xlfn._xlws.FILTER(M:M, C:C="Y")),"Y","N")</f>
        <v>Y</v>
      </c>
      <c r="P17" s="51" t="str">
        <f t="shared" si="2"/>
        <v>Y</v>
      </c>
      <c r="Q17" s="43" t="str" cm="1">
        <f t="array" ref="Q17">IF(N17 &gt; MEDIAN(_xlfn._xlws.FILTER(N:N, C:C="Y")), "Y", "N")</f>
        <v>Y</v>
      </c>
      <c r="R17" s="42"/>
      <c r="S17" s="29"/>
      <c r="T17" s="51"/>
      <c r="U17" s="43"/>
      <c r="V17" s="42"/>
      <c r="W17" s="29"/>
      <c r="X17" s="29"/>
      <c r="Y17" s="51" t="str">
        <f t="shared" si="0"/>
        <v/>
      </c>
      <c r="Z17" s="51"/>
      <c r="AA17" s="51"/>
      <c r="AB17" s="51"/>
      <c r="AC17" s="51"/>
      <c r="AD17" s="43"/>
      <c r="AE17" s="42"/>
      <c r="AF17" s="29"/>
      <c r="AG17" s="29"/>
      <c r="AH17" s="29"/>
      <c r="AI17" s="29"/>
      <c r="AJ17" s="29"/>
      <c r="AK17" s="29"/>
      <c r="AL17" s="29"/>
      <c r="AM17" s="29"/>
      <c r="AN17" s="43"/>
      <c r="AO17" s="42"/>
      <c r="AP17" s="29"/>
      <c r="AQ17" s="29"/>
      <c r="AR17" s="29"/>
      <c r="AS17" s="51"/>
      <c r="AT17" s="43"/>
      <c r="AU17" s="42"/>
      <c r="AV17" s="29"/>
      <c r="AW17" s="29"/>
      <c r="AX17" s="29"/>
      <c r="AY17" s="51"/>
      <c r="AZ17" s="51"/>
      <c r="BA17" s="66"/>
      <c r="BB17" s="29"/>
      <c r="BC17" s="43"/>
      <c r="BD17" s="66">
        <v>13777291</v>
      </c>
      <c r="BE17" s="29" t="s">
        <v>707</v>
      </c>
      <c r="BF17" s="29">
        <v>12636881</v>
      </c>
      <c r="BG17" s="51">
        <f t="shared" si="3"/>
        <v>5435.217634408602</v>
      </c>
      <c r="BH17" s="51">
        <v>13565568</v>
      </c>
      <c r="BI17" s="102">
        <v>5368311</v>
      </c>
      <c r="BJ17" s="51" t="s">
        <v>749</v>
      </c>
      <c r="BK17" s="51">
        <f t="shared" si="1"/>
        <v>5834.6529032258068</v>
      </c>
      <c r="BL17" s="51">
        <f>'log(debt) vs log(pop.) normaliz'!H17</f>
        <v>1.6499124462830856</v>
      </c>
    </row>
    <row r="18" spans="1:64" ht="162.5" x14ac:dyDescent="0.35">
      <c r="A18" s="2" t="s">
        <v>83</v>
      </c>
      <c r="B18" s="32" t="s">
        <v>123</v>
      </c>
      <c r="C18" s="78" t="s">
        <v>314</v>
      </c>
      <c r="D18" s="58"/>
      <c r="E18" s="45"/>
      <c r="F18" s="35"/>
      <c r="G18" s="58"/>
      <c r="H18" s="45" t="s">
        <v>586</v>
      </c>
      <c r="I18" s="44"/>
      <c r="J18" s="30"/>
      <c r="K18" s="30"/>
      <c r="L18" s="30">
        <v>1645</v>
      </c>
      <c r="M18" s="55">
        <v>1680</v>
      </c>
      <c r="N18" s="55">
        <f t="shared" si="4"/>
        <v>2.1276595744680851</v>
      </c>
      <c r="O18" s="55" t="str" cm="1">
        <f t="array" ref="O18">IF(M18 &gt; MEDIAN(_xlfn._xlws.FILTER(M:M, C:C="Y")),"Y","N")</f>
        <v>N</v>
      </c>
      <c r="P18" s="30" t="str">
        <f t="shared" si="2"/>
        <v>N</v>
      </c>
      <c r="Q18" s="45" t="str" cm="1">
        <f t="array" ref="Q18">IF(N18 &gt; MEDIAN(_xlfn._xlws.FILTER(N:N, C:C="Y")), "Y", "N")</f>
        <v>N</v>
      </c>
      <c r="R18" s="44"/>
      <c r="S18" s="30"/>
      <c r="T18" s="55"/>
      <c r="U18" s="45"/>
      <c r="V18" s="44"/>
      <c r="W18" s="30"/>
      <c r="X18" s="30"/>
      <c r="Y18" s="55" t="str">
        <f t="shared" si="0"/>
        <v/>
      </c>
      <c r="Z18" s="55"/>
      <c r="AA18" s="55"/>
      <c r="AB18" s="55"/>
      <c r="AC18" s="55"/>
      <c r="AD18" s="45"/>
      <c r="AE18" s="44"/>
      <c r="AF18" s="30"/>
      <c r="AG18" s="30"/>
      <c r="AH18" s="30"/>
      <c r="AI18" s="30"/>
      <c r="AJ18" s="30"/>
      <c r="AK18" s="30"/>
      <c r="AL18" s="30"/>
      <c r="AM18" s="30"/>
      <c r="AN18" s="45"/>
      <c r="AO18" s="44"/>
      <c r="AP18" s="30"/>
      <c r="AQ18" s="30"/>
      <c r="AR18" s="30"/>
      <c r="AS18" s="55"/>
      <c r="AT18" s="45"/>
      <c r="AU18" s="44"/>
      <c r="AV18" s="30"/>
      <c r="AW18" s="30"/>
      <c r="AX18" s="30"/>
      <c r="AY18" s="55"/>
      <c r="AZ18" s="55"/>
      <c r="BA18" s="49"/>
      <c r="BB18" s="30"/>
      <c r="BC18" s="45"/>
      <c r="BD18" s="49">
        <v>5923178</v>
      </c>
      <c r="BE18" s="30" t="s">
        <v>708</v>
      </c>
      <c r="BF18" s="30">
        <v>3233192</v>
      </c>
      <c r="BG18" s="55">
        <f t="shared" si="3"/>
        <v>1924.5190476190476</v>
      </c>
      <c r="BH18" s="55">
        <v>3400333</v>
      </c>
      <c r="BI18" s="103">
        <v>349428</v>
      </c>
      <c r="BJ18" s="55" t="s">
        <v>750</v>
      </c>
      <c r="BK18" s="55">
        <f t="shared" si="1"/>
        <v>2024.007738095238</v>
      </c>
      <c r="BL18" s="55">
        <f>'log(debt) vs log(pop.) normaliz'!H18</f>
        <v>0.61153860824156858</v>
      </c>
    </row>
    <row r="19" spans="1:64" ht="162.5" x14ac:dyDescent="0.35">
      <c r="A19" s="4" t="s">
        <v>131</v>
      </c>
      <c r="B19" s="32" t="s">
        <v>132</v>
      </c>
      <c r="C19" s="76" t="s">
        <v>314</v>
      </c>
      <c r="D19" s="57"/>
      <c r="E19" s="43"/>
      <c r="F19" s="34"/>
      <c r="G19" s="59"/>
      <c r="H19" s="43" t="s">
        <v>586</v>
      </c>
      <c r="I19" s="42"/>
      <c r="J19" s="29"/>
      <c r="K19" s="29"/>
      <c r="L19" s="29">
        <v>3420</v>
      </c>
      <c r="M19" s="51">
        <v>3515</v>
      </c>
      <c r="N19" s="51">
        <f t="shared" si="4"/>
        <v>2.7777777777777777</v>
      </c>
      <c r="O19" s="51" t="str" cm="1">
        <f t="array" ref="O19">IF(M19 &gt; MEDIAN(_xlfn._xlws.FILTER(M:M, C:C="Y")),"Y","N")</f>
        <v>Y</v>
      </c>
      <c r="P19" s="51" t="str">
        <f t="shared" si="2"/>
        <v>N</v>
      </c>
      <c r="Q19" s="43" t="str" cm="1">
        <f t="array" ref="Q19">IF(N19 &gt; MEDIAN(_xlfn._xlws.FILTER(N:N, C:C="Y")), "Y", "N")</f>
        <v>N</v>
      </c>
      <c r="R19" s="42"/>
      <c r="S19" s="29"/>
      <c r="T19" s="51"/>
      <c r="U19" s="43"/>
      <c r="V19" s="42"/>
      <c r="W19" s="29"/>
      <c r="X19" s="29"/>
      <c r="Y19" s="51" t="str">
        <f t="shared" si="0"/>
        <v/>
      </c>
      <c r="Z19" s="51"/>
      <c r="AA19" s="51"/>
      <c r="AB19" s="51"/>
      <c r="AC19" s="51"/>
      <c r="AD19" s="43"/>
      <c r="AE19" s="42"/>
      <c r="AF19" s="29"/>
      <c r="AG19" s="29"/>
      <c r="AH19" s="29"/>
      <c r="AI19" s="29"/>
      <c r="AJ19" s="29"/>
      <c r="AK19" s="29"/>
      <c r="AL19" s="29"/>
      <c r="AM19" s="29"/>
      <c r="AN19" s="43"/>
      <c r="AO19" s="42"/>
      <c r="AP19" s="29"/>
      <c r="AQ19" s="29"/>
      <c r="AR19" s="29"/>
      <c r="AS19" s="51"/>
      <c r="AT19" s="43"/>
      <c r="AU19" s="42"/>
      <c r="AV19" s="29"/>
      <c r="AW19" s="29"/>
      <c r="AX19" s="29"/>
      <c r="AY19" s="51"/>
      <c r="AZ19" s="51"/>
      <c r="BA19" s="66"/>
      <c r="BB19" s="29"/>
      <c r="BC19" s="43"/>
      <c r="BD19" s="66">
        <v>10271678</v>
      </c>
      <c r="BE19" s="29" t="s">
        <v>709</v>
      </c>
      <c r="BF19" s="29">
        <v>9246237</v>
      </c>
      <c r="BG19" s="51">
        <f t="shared" si="3"/>
        <v>2630.5083926031293</v>
      </c>
      <c r="BH19" s="51">
        <v>10136406</v>
      </c>
      <c r="BI19" s="102">
        <v>5593718</v>
      </c>
      <c r="BJ19" s="51" t="s">
        <v>751</v>
      </c>
      <c r="BK19" s="51">
        <f t="shared" si="1"/>
        <v>2883.757041251778</v>
      </c>
      <c r="BL19" s="51">
        <f>'log(debt) vs log(pop.) normaliz'!H19</f>
        <v>0.91929114868134754</v>
      </c>
    </row>
    <row r="20" spans="1:64" ht="187.5" x14ac:dyDescent="0.35">
      <c r="A20" s="4" t="s">
        <v>131</v>
      </c>
      <c r="B20" s="32" t="s">
        <v>140</v>
      </c>
      <c r="C20" s="78" t="s">
        <v>314</v>
      </c>
      <c r="D20" s="58"/>
      <c r="E20" s="45"/>
      <c r="F20" s="35"/>
      <c r="G20" s="58"/>
      <c r="H20" s="45" t="s">
        <v>586</v>
      </c>
      <c r="I20" s="44"/>
      <c r="J20" s="30"/>
      <c r="K20" s="30"/>
      <c r="L20" s="30">
        <v>2315</v>
      </c>
      <c r="M20" s="55">
        <v>2550</v>
      </c>
      <c r="N20" s="55">
        <f t="shared" si="4"/>
        <v>10.151187904967603</v>
      </c>
      <c r="O20" s="55" t="str" cm="1">
        <f t="array" ref="O20">IF(M20 &gt; MEDIAN(_xlfn._xlws.FILTER(M:M, C:C="Y")),"Y","N")</f>
        <v>Y</v>
      </c>
      <c r="P20" s="30" t="str">
        <f t="shared" si="2"/>
        <v>Y</v>
      </c>
      <c r="Q20" s="45" t="str" cm="1">
        <f t="array" ref="Q20">IF(N20 &gt; MEDIAN(_xlfn._xlws.FILTER(N:N, C:C="Y")), "Y", "N")</f>
        <v>Y</v>
      </c>
      <c r="R20" s="44"/>
      <c r="S20" s="30"/>
      <c r="T20" s="55"/>
      <c r="U20" s="45"/>
      <c r="V20" s="44"/>
      <c r="W20" s="30"/>
      <c r="X20" s="30"/>
      <c r="Y20" s="55" t="str">
        <f t="shared" si="0"/>
        <v/>
      </c>
      <c r="Z20" s="55"/>
      <c r="AA20" s="55"/>
      <c r="AB20" s="55"/>
      <c r="AC20" s="55"/>
      <c r="AD20" s="45"/>
      <c r="AE20" s="44"/>
      <c r="AF20" s="30"/>
      <c r="AG20" s="30"/>
      <c r="AH20" s="30"/>
      <c r="AI20" s="30"/>
      <c r="AJ20" s="30"/>
      <c r="AK20" s="30"/>
      <c r="AL20" s="30"/>
      <c r="AM20" s="30"/>
      <c r="AN20" s="45"/>
      <c r="AO20" s="44"/>
      <c r="AP20" s="30"/>
      <c r="AQ20" s="30"/>
      <c r="AR20" s="30"/>
      <c r="AS20" s="55"/>
      <c r="AT20" s="45"/>
      <c r="AU20" s="44"/>
      <c r="AV20" s="30"/>
      <c r="AW20" s="30"/>
      <c r="AX20" s="30"/>
      <c r="AY20" s="55"/>
      <c r="AZ20" s="55"/>
      <c r="BA20" s="49"/>
      <c r="BB20" s="30"/>
      <c r="BC20" s="45"/>
      <c r="BD20" s="49">
        <v>11885246</v>
      </c>
      <c r="BE20" s="30" t="s">
        <v>710</v>
      </c>
      <c r="BF20" s="30">
        <v>9502535</v>
      </c>
      <c r="BG20" s="55">
        <f t="shared" si="3"/>
        <v>3726.4843137254902</v>
      </c>
      <c r="BH20" s="55">
        <v>10849934</v>
      </c>
      <c r="BI20" s="103">
        <v>929624</v>
      </c>
      <c r="BJ20" s="55" t="s">
        <v>752</v>
      </c>
      <c r="BK20" s="55">
        <f t="shared" si="1"/>
        <v>4254.8760784313727</v>
      </c>
      <c r="BL20" s="55">
        <f>'log(debt) vs log(pop.) normaliz'!H20</f>
        <v>1.3283747703549906</v>
      </c>
    </row>
    <row r="21" spans="1:64" ht="162.5" x14ac:dyDescent="0.35">
      <c r="A21" s="4" t="s">
        <v>131</v>
      </c>
      <c r="B21" s="32" t="s">
        <v>146</v>
      </c>
      <c r="C21" s="76" t="s">
        <v>314</v>
      </c>
      <c r="D21" s="57"/>
      <c r="E21" s="43"/>
      <c r="F21" s="34"/>
      <c r="G21" s="59"/>
      <c r="H21" s="43" t="s">
        <v>586</v>
      </c>
      <c r="I21" s="42"/>
      <c r="J21" s="29"/>
      <c r="K21" s="29"/>
      <c r="L21" s="29">
        <v>730</v>
      </c>
      <c r="M21" s="51">
        <v>780</v>
      </c>
      <c r="N21" s="51">
        <f t="shared" si="4"/>
        <v>6.8493150684931505</v>
      </c>
      <c r="O21" s="51" t="str" cm="1">
        <f t="array" ref="O21">IF(M21 &gt; MEDIAN(_xlfn._xlws.FILTER(M:M, C:C="Y")),"Y","N")</f>
        <v>N</v>
      </c>
      <c r="P21" s="51" t="str">
        <f t="shared" si="2"/>
        <v>N</v>
      </c>
      <c r="Q21" s="43" t="str" cm="1">
        <f t="array" ref="Q21">IF(N21 &gt; MEDIAN(_xlfn._xlws.FILTER(N:N, C:C="Y")), "Y", "N")</f>
        <v>Y</v>
      </c>
      <c r="R21" s="42"/>
      <c r="S21" s="29"/>
      <c r="T21" s="51"/>
      <c r="U21" s="43"/>
      <c r="V21" s="42"/>
      <c r="W21" s="29"/>
      <c r="X21" s="29"/>
      <c r="Y21" s="51" t="str">
        <f t="shared" si="0"/>
        <v/>
      </c>
      <c r="Z21" s="51"/>
      <c r="AA21" s="51"/>
      <c r="AB21" s="51"/>
      <c r="AC21" s="51"/>
      <c r="AD21" s="43"/>
      <c r="AE21" s="42"/>
      <c r="AF21" s="29"/>
      <c r="AG21" s="29"/>
      <c r="AH21" s="29"/>
      <c r="AI21" s="29"/>
      <c r="AJ21" s="29"/>
      <c r="AK21" s="29"/>
      <c r="AL21" s="29"/>
      <c r="AM21" s="29"/>
      <c r="AN21" s="43"/>
      <c r="AO21" s="42"/>
      <c r="AP21" s="29"/>
      <c r="AQ21" s="29"/>
      <c r="AR21" s="29"/>
      <c r="AS21" s="51"/>
      <c r="AT21" s="43"/>
      <c r="AU21" s="42"/>
      <c r="AV21" s="29"/>
      <c r="AW21" s="29"/>
      <c r="AX21" s="29"/>
      <c r="AY21" s="51"/>
      <c r="AZ21" s="51"/>
      <c r="BA21" s="66"/>
      <c r="BB21" s="29"/>
      <c r="BC21" s="43"/>
      <c r="BD21" s="66">
        <v>4933703</v>
      </c>
      <c r="BE21" s="29" t="s">
        <v>711</v>
      </c>
      <c r="BF21" s="29">
        <v>4945198</v>
      </c>
      <c r="BG21" s="51">
        <f t="shared" si="3"/>
        <v>6339.9974358974359</v>
      </c>
      <c r="BH21" s="51">
        <v>5049557</v>
      </c>
      <c r="BI21" s="102">
        <v>4934844</v>
      </c>
      <c r="BJ21" s="51" t="s">
        <v>753</v>
      </c>
      <c r="BK21" s="51">
        <f t="shared" si="1"/>
        <v>6473.791025641026</v>
      </c>
      <c r="BL21" s="51">
        <f>'log(debt) vs log(pop.) normaliz'!H21</f>
        <v>1.8223006299088702</v>
      </c>
    </row>
    <row r="22" spans="1:64" ht="409.5" x14ac:dyDescent="0.35">
      <c r="A22" s="5" t="s">
        <v>153</v>
      </c>
      <c r="B22" s="32" t="s">
        <v>154</v>
      </c>
      <c r="C22" s="78" t="s">
        <v>311</v>
      </c>
      <c r="D22" s="58"/>
      <c r="E22" s="45" t="s">
        <v>366</v>
      </c>
      <c r="F22" s="35" t="s">
        <v>778</v>
      </c>
      <c r="G22" s="58" t="s">
        <v>779</v>
      </c>
      <c r="H22" s="45" t="s">
        <v>586</v>
      </c>
      <c r="I22" s="44" t="s">
        <v>311</v>
      </c>
      <c r="J22" s="30" t="s">
        <v>375</v>
      </c>
      <c r="K22" s="30" t="s">
        <v>593</v>
      </c>
      <c r="L22" s="30">
        <v>1685</v>
      </c>
      <c r="M22" s="55">
        <v>1730</v>
      </c>
      <c r="N22" s="55">
        <f t="shared" si="4"/>
        <v>2.6706231454005933</v>
      </c>
      <c r="O22" s="55" t="str" cm="1">
        <f t="array" ref="O22">IF(M22 &gt; MEDIAN(_xlfn._xlws.FILTER(M:M, C:C="Y")),"Y","N")</f>
        <v>N</v>
      </c>
      <c r="P22" s="30" t="str">
        <f t="shared" si="2"/>
        <v>N</v>
      </c>
      <c r="Q22" s="45" t="str" cm="1">
        <f t="array" ref="Q22">IF(N22 &gt; MEDIAN(_xlfn._xlws.FILTER(N:N, C:C="Y")), "Y", "N")</f>
        <v>N</v>
      </c>
      <c r="R22" s="44" t="s">
        <v>314</v>
      </c>
      <c r="S22" s="30" t="s">
        <v>552</v>
      </c>
      <c r="T22" s="55" t="s">
        <v>314</v>
      </c>
      <c r="U22" s="45" t="s">
        <v>314</v>
      </c>
      <c r="V22" s="44" t="s">
        <v>314</v>
      </c>
      <c r="W22" s="30" t="s">
        <v>777</v>
      </c>
      <c r="X22" s="30" t="s">
        <v>314</v>
      </c>
      <c r="Y22" s="55" t="str">
        <f t="shared" si="0"/>
        <v>N</v>
      </c>
      <c r="Z22" s="55" t="s">
        <v>319</v>
      </c>
      <c r="AA22" s="55" t="s">
        <v>319</v>
      </c>
      <c r="AB22" s="55" t="s">
        <v>319</v>
      </c>
      <c r="AC22" s="55" t="s">
        <v>319</v>
      </c>
      <c r="AD22" s="45" t="s">
        <v>319</v>
      </c>
      <c r="AE22" s="44" t="s">
        <v>311</v>
      </c>
      <c r="AF22" s="30" t="s">
        <v>374</v>
      </c>
      <c r="AG22" s="30" t="s">
        <v>314</v>
      </c>
      <c r="AH22" s="30" t="s">
        <v>314</v>
      </c>
      <c r="AI22" s="30" t="s">
        <v>314</v>
      </c>
      <c r="AJ22" s="30" t="s">
        <v>314</v>
      </c>
      <c r="AK22" s="30" t="s">
        <v>314</v>
      </c>
      <c r="AL22" s="30" t="s">
        <v>314</v>
      </c>
      <c r="AM22" s="30" t="s">
        <v>314</v>
      </c>
      <c r="AN22" s="45" t="s">
        <v>311</v>
      </c>
      <c r="AO22" s="44"/>
      <c r="AP22" s="30"/>
      <c r="AQ22" s="30"/>
      <c r="AR22" s="30"/>
      <c r="AS22" s="55"/>
      <c r="AT22" s="45"/>
      <c r="AU22" s="44" t="s">
        <v>314</v>
      </c>
      <c r="AV22" s="30" t="s">
        <v>376</v>
      </c>
      <c r="AW22" s="30" t="s">
        <v>319</v>
      </c>
      <c r="AX22" s="30" t="s">
        <v>319</v>
      </c>
      <c r="AY22" s="55" t="s">
        <v>319</v>
      </c>
      <c r="AZ22" s="55" t="s">
        <v>319</v>
      </c>
      <c r="BA22" s="49"/>
      <c r="BB22" s="30"/>
      <c r="BC22" s="45" t="s">
        <v>377</v>
      </c>
      <c r="BD22" s="49">
        <v>3782651</v>
      </c>
      <c r="BE22" s="30" t="s">
        <v>712</v>
      </c>
      <c r="BF22" s="30">
        <v>315000</v>
      </c>
      <c r="BG22" s="55">
        <f t="shared" si="3"/>
        <v>182.08092485549133</v>
      </c>
      <c r="BH22" s="55">
        <v>461657</v>
      </c>
      <c r="BI22" s="103">
        <v>0</v>
      </c>
      <c r="BJ22" s="55" t="s">
        <v>754</v>
      </c>
      <c r="BK22" s="55">
        <f t="shared" si="1"/>
        <v>266.85375722543353</v>
      </c>
      <c r="BL22" s="55">
        <f>'log(debt) vs log(pop.) normaliz'!H22</f>
        <v>-1.4164332653526142</v>
      </c>
    </row>
    <row r="23" spans="1:64" ht="249.5" customHeight="1" x14ac:dyDescent="0.35">
      <c r="A23" s="5" t="s">
        <v>153</v>
      </c>
      <c r="B23" s="32" t="s">
        <v>156</v>
      </c>
      <c r="C23" s="76" t="s">
        <v>314</v>
      </c>
      <c r="D23" s="57"/>
      <c r="E23" s="43"/>
      <c r="F23" s="34"/>
      <c r="G23" s="59"/>
      <c r="H23" s="43" t="s">
        <v>586</v>
      </c>
      <c r="I23" s="42"/>
      <c r="J23" s="29"/>
      <c r="K23" s="29"/>
      <c r="L23" s="29">
        <v>900</v>
      </c>
      <c r="M23" s="51">
        <v>895</v>
      </c>
      <c r="N23" s="51">
        <f t="shared" si="4"/>
        <v>-0.55555555555555558</v>
      </c>
      <c r="O23" s="51" t="str" cm="1">
        <f t="array" ref="O23">IF(M23 &gt; MEDIAN(_xlfn._xlws.FILTER(M:M, C:C="Y")),"Y","N")</f>
        <v>N</v>
      </c>
      <c r="P23" s="51" t="str">
        <f t="shared" si="2"/>
        <v>N</v>
      </c>
      <c r="Q23" s="43" t="str" cm="1">
        <f t="array" ref="Q23">IF(N23 &gt; MEDIAN(_xlfn._xlws.FILTER(N:N, C:C="Y")), "Y", "N")</f>
        <v>N</v>
      </c>
      <c r="R23" s="42"/>
      <c r="S23" s="29"/>
      <c r="T23" s="51"/>
      <c r="U23" s="43"/>
      <c r="V23" s="42"/>
      <c r="W23" s="29"/>
      <c r="X23" s="29"/>
      <c r="Y23" s="51" t="str">
        <f t="shared" si="0"/>
        <v/>
      </c>
      <c r="Z23" s="51"/>
      <c r="AA23" s="51"/>
      <c r="AB23" s="51"/>
      <c r="AC23" s="51"/>
      <c r="AD23" s="43"/>
      <c r="AE23" s="42"/>
      <c r="AF23" s="29"/>
      <c r="AG23" s="29"/>
      <c r="AH23" s="29"/>
      <c r="AI23" s="29"/>
      <c r="AJ23" s="29"/>
      <c r="AK23" s="29"/>
      <c r="AL23" s="29"/>
      <c r="AM23" s="29"/>
      <c r="AN23" s="43"/>
      <c r="AO23" s="42"/>
      <c r="AP23" s="29"/>
      <c r="AQ23" s="29"/>
      <c r="AR23" s="29"/>
      <c r="AS23" s="51"/>
      <c r="AT23" s="43"/>
      <c r="AU23" s="42"/>
      <c r="AV23" s="29"/>
      <c r="AW23" s="29"/>
      <c r="AX23" s="29"/>
      <c r="AY23" s="51"/>
      <c r="AZ23" s="51"/>
      <c r="BA23" s="66"/>
      <c r="BB23" s="29"/>
      <c r="BC23" s="43"/>
      <c r="BD23" s="66">
        <v>3728724</v>
      </c>
      <c r="BE23" s="29" t="s">
        <v>713</v>
      </c>
      <c r="BF23" s="29">
        <v>2789157</v>
      </c>
      <c r="BG23" s="51">
        <f t="shared" si="3"/>
        <v>3116.3765363128491</v>
      </c>
      <c r="BH23" s="51">
        <v>2879663</v>
      </c>
      <c r="BI23" s="102">
        <v>476275</v>
      </c>
      <c r="BJ23" s="51" t="s">
        <v>755</v>
      </c>
      <c r="BK23" s="51">
        <f t="shared" si="1"/>
        <v>3217.5005586592179</v>
      </c>
      <c r="BL23" s="51">
        <f>'log(debt) vs log(pop.) normaliz'!H23</f>
        <v>1.1145253412849474</v>
      </c>
    </row>
    <row r="24" spans="1:64" ht="162.5" x14ac:dyDescent="0.35">
      <c r="A24" s="5" t="s">
        <v>153</v>
      </c>
      <c r="B24" s="32" t="s">
        <v>163</v>
      </c>
      <c r="C24" s="78" t="s">
        <v>314</v>
      </c>
      <c r="D24" s="58"/>
      <c r="E24" s="45"/>
      <c r="F24" s="35"/>
      <c r="G24" s="58"/>
      <c r="H24" s="45" t="s">
        <v>586</v>
      </c>
      <c r="I24" s="44"/>
      <c r="J24" s="30"/>
      <c r="K24" s="30"/>
      <c r="L24" s="30">
        <v>415</v>
      </c>
      <c r="M24" s="55">
        <v>435</v>
      </c>
      <c r="N24" s="55">
        <f t="shared" si="4"/>
        <v>4.8192771084337354</v>
      </c>
      <c r="O24" s="55" t="str" cm="1">
        <f t="array" ref="O24">IF(M24 &gt; MEDIAN(_xlfn._xlws.FILTER(M:M, C:C="Y")),"Y","N")</f>
        <v>N</v>
      </c>
      <c r="P24" s="30" t="str">
        <f t="shared" si="2"/>
        <v>N</v>
      </c>
      <c r="Q24" s="45" t="str" cm="1">
        <f t="array" ref="Q24">IF(N24 &gt; MEDIAN(_xlfn._xlws.FILTER(N:N, C:C="Y")), "Y", "N")</f>
        <v>Y</v>
      </c>
      <c r="R24" s="44"/>
      <c r="S24" s="30"/>
      <c r="T24" s="55"/>
      <c r="U24" s="45"/>
      <c r="V24" s="44"/>
      <c r="W24" s="30"/>
      <c r="X24" s="30"/>
      <c r="Y24" s="55" t="str">
        <f t="shared" si="0"/>
        <v/>
      </c>
      <c r="Z24" s="55"/>
      <c r="AA24" s="55"/>
      <c r="AB24" s="55"/>
      <c r="AC24" s="55"/>
      <c r="AD24" s="45"/>
      <c r="AE24" s="44"/>
      <c r="AF24" s="30"/>
      <c r="AG24" s="30"/>
      <c r="AH24" s="30"/>
      <c r="AI24" s="30"/>
      <c r="AJ24" s="30"/>
      <c r="AK24" s="30"/>
      <c r="AL24" s="30"/>
      <c r="AM24" s="30"/>
      <c r="AN24" s="45"/>
      <c r="AO24" s="44"/>
      <c r="AP24" s="30"/>
      <c r="AQ24" s="30"/>
      <c r="AR24" s="30"/>
      <c r="AS24" s="55"/>
      <c r="AT24" s="45"/>
      <c r="AU24" s="44"/>
      <c r="AV24" s="30"/>
      <c r="AW24" s="30"/>
      <c r="AX24" s="30"/>
      <c r="AY24" s="55"/>
      <c r="AZ24" s="55"/>
      <c r="BA24" s="49"/>
      <c r="BB24" s="30"/>
      <c r="BC24" s="45"/>
      <c r="BD24" s="49">
        <v>1166193</v>
      </c>
      <c r="BE24" s="30" t="s">
        <v>714</v>
      </c>
      <c r="BF24" s="30">
        <v>27356</v>
      </c>
      <c r="BG24" s="55">
        <f t="shared" si="3"/>
        <v>62.887356321839079</v>
      </c>
      <c r="BH24" s="55">
        <v>36817</v>
      </c>
      <c r="BI24" s="103">
        <v>0</v>
      </c>
      <c r="BJ24" s="55" t="s">
        <v>756</v>
      </c>
      <c r="BK24" s="55">
        <f t="shared" si="1"/>
        <v>84.636781609195396</v>
      </c>
      <c r="BL24" s="55">
        <f>'log(debt) vs log(pop.) normaliz'!H24</f>
        <v>-2.4782547341613697</v>
      </c>
    </row>
    <row r="25" spans="1:64" ht="162.5" x14ac:dyDescent="0.35">
      <c r="A25" s="5" t="s">
        <v>153</v>
      </c>
      <c r="B25" s="32" t="s">
        <v>170</v>
      </c>
      <c r="C25" s="76" t="s">
        <v>314</v>
      </c>
      <c r="D25" s="57"/>
      <c r="E25" s="43"/>
      <c r="F25" s="34"/>
      <c r="G25" s="59"/>
      <c r="H25" s="43" t="s">
        <v>586</v>
      </c>
      <c r="I25" s="42"/>
      <c r="J25" s="29"/>
      <c r="K25" s="29"/>
      <c r="L25" s="29">
        <v>570</v>
      </c>
      <c r="M25" s="51">
        <v>655</v>
      </c>
      <c r="N25" s="51">
        <f t="shared" si="4"/>
        <v>14.912280701754385</v>
      </c>
      <c r="O25" s="51" t="str" cm="1">
        <f t="array" ref="O25">IF(M25 &gt; MEDIAN(_xlfn._xlws.FILTER(M:M, C:C="Y")),"Y","N")</f>
        <v>N</v>
      </c>
      <c r="P25" s="51" t="str">
        <f t="shared" si="2"/>
        <v>Y</v>
      </c>
      <c r="Q25" s="43" t="str" cm="1">
        <f t="array" ref="Q25">IF(N25 &gt; MEDIAN(_xlfn._xlws.FILTER(N:N, C:C="Y")), "Y", "N")</f>
        <v>Y</v>
      </c>
      <c r="R25" s="42"/>
      <c r="S25" s="29"/>
      <c r="T25" s="51"/>
      <c r="U25" s="43"/>
      <c r="V25" s="42"/>
      <c r="W25" s="29"/>
      <c r="X25" s="29"/>
      <c r="Y25" s="51" t="str">
        <f t="shared" si="0"/>
        <v/>
      </c>
      <c r="Z25" s="51"/>
      <c r="AA25" s="51"/>
      <c r="AB25" s="51"/>
      <c r="AC25" s="51"/>
      <c r="AD25" s="43"/>
      <c r="AE25" s="42"/>
      <c r="AF25" s="29"/>
      <c r="AG25" s="29"/>
      <c r="AH25" s="29"/>
      <c r="AI25" s="29"/>
      <c r="AJ25" s="29"/>
      <c r="AK25" s="29"/>
      <c r="AL25" s="29"/>
      <c r="AM25" s="29"/>
      <c r="AN25" s="43"/>
      <c r="AO25" s="42"/>
      <c r="AP25" s="29"/>
      <c r="AQ25" s="29"/>
      <c r="AR25" s="29"/>
      <c r="AS25" s="51"/>
      <c r="AT25" s="43"/>
      <c r="AU25" s="42"/>
      <c r="AV25" s="29"/>
      <c r="AW25" s="29"/>
      <c r="AX25" s="29"/>
      <c r="AY25" s="51"/>
      <c r="AZ25" s="51"/>
      <c r="BA25" s="66"/>
      <c r="BB25" s="29"/>
      <c r="BC25" s="43"/>
      <c r="BD25" s="66">
        <v>2469620</v>
      </c>
      <c r="BE25" s="29" t="s">
        <v>715</v>
      </c>
      <c r="BF25" s="29">
        <v>382742</v>
      </c>
      <c r="BG25" s="51">
        <f t="shared" si="3"/>
        <v>584.33893129770991</v>
      </c>
      <c r="BH25" s="51">
        <v>407362</v>
      </c>
      <c r="BI25" s="102">
        <v>0</v>
      </c>
      <c r="BJ25" s="51" t="s">
        <v>757</v>
      </c>
      <c r="BK25" s="51">
        <f t="shared" si="1"/>
        <v>621.92671755725189</v>
      </c>
      <c r="BL25" s="51">
        <f>'log(debt) vs log(pop.) normaliz'!H25</f>
        <v>-0.50944934395970876</v>
      </c>
    </row>
    <row r="26" spans="1:64" ht="175" x14ac:dyDescent="0.35">
      <c r="A26" s="5" t="s">
        <v>153</v>
      </c>
      <c r="B26" s="32" t="s">
        <v>178</v>
      </c>
      <c r="C26" s="78" t="s">
        <v>311</v>
      </c>
      <c r="D26" s="58"/>
      <c r="E26" s="45" t="s">
        <v>456</v>
      </c>
      <c r="F26" s="35" t="s">
        <v>311</v>
      </c>
      <c r="G26" s="58" t="s">
        <v>457</v>
      </c>
      <c r="H26" s="45" t="s">
        <v>586</v>
      </c>
      <c r="I26" s="44" t="s">
        <v>314</v>
      </c>
      <c r="J26" s="30" t="s">
        <v>458</v>
      </c>
      <c r="K26" s="30"/>
      <c r="L26" s="30">
        <v>875</v>
      </c>
      <c r="M26" s="55">
        <v>900</v>
      </c>
      <c r="N26" s="55">
        <f t="shared" si="4"/>
        <v>2.8571428571428572</v>
      </c>
      <c r="O26" s="55" t="str" cm="1">
        <f t="array" ref="O26">IF(M26 &gt; MEDIAN(_xlfn._xlws.FILTER(M:M, C:C="Y")),"Y","N")</f>
        <v>N</v>
      </c>
      <c r="P26" s="30" t="str">
        <f t="shared" si="2"/>
        <v>N</v>
      </c>
      <c r="Q26" s="45" t="str" cm="1">
        <f t="array" ref="Q26">IF(N26 &gt; MEDIAN(_xlfn._xlws.FILTER(N:N, C:C="Y")), "Y", "N")</f>
        <v>N</v>
      </c>
      <c r="R26" s="44" t="s">
        <v>314</v>
      </c>
      <c r="S26" s="30" t="s">
        <v>313</v>
      </c>
      <c r="T26" s="55" t="s">
        <v>314</v>
      </c>
      <c r="U26" s="45" t="s">
        <v>314</v>
      </c>
      <c r="V26" s="44" t="s">
        <v>311</v>
      </c>
      <c r="W26" s="30" t="s">
        <v>584</v>
      </c>
      <c r="X26" s="30" t="s">
        <v>314</v>
      </c>
      <c r="Y26" s="55" t="str">
        <f t="shared" si="0"/>
        <v>N</v>
      </c>
      <c r="Z26" s="55" t="s">
        <v>311</v>
      </c>
      <c r="AA26" s="55" t="s">
        <v>314</v>
      </c>
      <c r="AB26" s="55" t="s">
        <v>314</v>
      </c>
      <c r="AC26" s="55" t="s">
        <v>314</v>
      </c>
      <c r="AD26" s="45" t="s">
        <v>314</v>
      </c>
      <c r="AE26" s="44" t="s">
        <v>311</v>
      </c>
      <c r="AF26" s="30" t="s">
        <v>576</v>
      </c>
      <c r="AG26" s="30" t="s">
        <v>314</v>
      </c>
      <c r="AH26" s="30" t="s">
        <v>314</v>
      </c>
      <c r="AI26" s="30" t="s">
        <v>314</v>
      </c>
      <c r="AJ26" s="30" t="s">
        <v>314</v>
      </c>
      <c r="AK26" s="30" t="s">
        <v>314</v>
      </c>
      <c r="AL26" s="30" t="s">
        <v>311</v>
      </c>
      <c r="AM26" s="30" t="s">
        <v>314</v>
      </c>
      <c r="AN26" s="45" t="s">
        <v>314</v>
      </c>
      <c r="AO26" s="44" t="s">
        <v>314</v>
      </c>
      <c r="AP26" s="30" t="s">
        <v>580</v>
      </c>
      <c r="AQ26" s="30" t="s">
        <v>778</v>
      </c>
      <c r="AR26" s="30" t="s">
        <v>778</v>
      </c>
      <c r="AS26" s="30" t="s">
        <v>311</v>
      </c>
      <c r="AT26" s="30" t="s">
        <v>778</v>
      </c>
      <c r="AU26" s="44" t="s">
        <v>311</v>
      </c>
      <c r="AV26" s="30" t="s">
        <v>569</v>
      </c>
      <c r="AW26" s="30" t="s">
        <v>314</v>
      </c>
      <c r="AX26" s="30" t="s">
        <v>314</v>
      </c>
      <c r="AY26" s="55" t="s">
        <v>314</v>
      </c>
      <c r="AZ26" s="55"/>
      <c r="BA26" s="49" t="s">
        <v>464</v>
      </c>
      <c r="BB26" s="30"/>
      <c r="BC26" s="45" t="s">
        <v>470</v>
      </c>
      <c r="BD26" s="49">
        <v>2158021</v>
      </c>
      <c r="BE26" s="30" t="s">
        <v>716</v>
      </c>
      <c r="BF26" s="30">
        <v>75365</v>
      </c>
      <c r="BG26" s="55">
        <f t="shared" si="3"/>
        <v>83.738888888888894</v>
      </c>
      <c r="BH26" s="55">
        <v>82353</v>
      </c>
      <c r="BI26" s="103">
        <v>0</v>
      </c>
      <c r="BJ26" s="55" t="s">
        <v>758</v>
      </c>
      <c r="BK26" s="55">
        <f t="shared" si="1"/>
        <v>91.50333333333333</v>
      </c>
      <c r="BL26" s="55">
        <f>'log(debt) vs log(pop.) normaliz'!H26</f>
        <v>-2.4458084775128661</v>
      </c>
    </row>
    <row r="27" spans="1:64" ht="162.5" x14ac:dyDescent="0.35">
      <c r="A27" s="6" t="s">
        <v>181</v>
      </c>
      <c r="B27" s="32" t="s">
        <v>182</v>
      </c>
      <c r="C27" s="76" t="s">
        <v>311</v>
      </c>
      <c r="D27" s="57"/>
      <c r="E27" s="43"/>
      <c r="F27" s="34" t="s">
        <v>314</v>
      </c>
      <c r="G27" s="59"/>
      <c r="H27" s="43" t="s">
        <v>586</v>
      </c>
      <c r="I27" s="42" t="s">
        <v>314</v>
      </c>
      <c r="J27" s="29"/>
      <c r="K27" s="29"/>
      <c r="L27" s="29">
        <v>4840</v>
      </c>
      <c r="M27" s="51">
        <v>4980</v>
      </c>
      <c r="N27" s="51">
        <f t="shared" si="4"/>
        <v>2.8925619834710745</v>
      </c>
      <c r="O27" s="51" t="str" cm="1">
        <f t="array" ref="O27">IF(M27 &gt; MEDIAN(_xlfn._xlws.FILTER(M:M, C:C="Y")),"Y","N")</f>
        <v>Y</v>
      </c>
      <c r="P27" s="51" t="str">
        <f t="shared" si="2"/>
        <v>N</v>
      </c>
      <c r="Q27" s="43" t="str" cm="1">
        <f t="array" ref="Q27">IF(N27 &gt; MEDIAN(_xlfn._xlws.FILTER(N:N, C:C="Y")), "Y", "N")</f>
        <v>N</v>
      </c>
      <c r="R27" s="42" t="s">
        <v>314</v>
      </c>
      <c r="S27" s="29" t="s">
        <v>313</v>
      </c>
      <c r="T27" s="51" t="s">
        <v>314</v>
      </c>
      <c r="U27" s="43" t="s">
        <v>314</v>
      </c>
      <c r="V27" s="42" t="s">
        <v>311</v>
      </c>
      <c r="W27" s="29" t="s">
        <v>380</v>
      </c>
      <c r="X27" s="29" t="s">
        <v>314</v>
      </c>
      <c r="Y27" s="29" t="str">
        <f t="shared" si="0"/>
        <v>N</v>
      </c>
      <c r="Z27" s="29" t="s">
        <v>311</v>
      </c>
      <c r="AA27" s="29" t="s">
        <v>314</v>
      </c>
      <c r="AB27" s="29" t="s">
        <v>314</v>
      </c>
      <c r="AC27" s="51" t="s">
        <v>314</v>
      </c>
      <c r="AD27" s="43" t="s">
        <v>314</v>
      </c>
      <c r="AE27" s="42" t="s">
        <v>311</v>
      </c>
      <c r="AF27" s="29" t="s">
        <v>381</v>
      </c>
      <c r="AG27" s="29" t="s">
        <v>314</v>
      </c>
      <c r="AH27" s="29" t="s">
        <v>311</v>
      </c>
      <c r="AI27" s="29" t="s">
        <v>314</v>
      </c>
      <c r="AJ27" s="29" t="s">
        <v>314</v>
      </c>
      <c r="AK27" s="29" t="s">
        <v>314</v>
      </c>
      <c r="AL27" s="29" t="s">
        <v>314</v>
      </c>
      <c r="AM27" s="29" t="s">
        <v>314</v>
      </c>
      <c r="AN27" s="29" t="s">
        <v>314</v>
      </c>
      <c r="AO27" s="42" t="s">
        <v>314</v>
      </c>
      <c r="AP27" s="29"/>
      <c r="AQ27" s="29" t="s">
        <v>319</v>
      </c>
      <c r="AR27" s="29" t="s">
        <v>319</v>
      </c>
      <c r="AS27" s="29" t="s">
        <v>319</v>
      </c>
      <c r="AT27" s="43" t="s">
        <v>319</v>
      </c>
      <c r="AU27" s="42" t="s">
        <v>311</v>
      </c>
      <c r="AV27" s="29" t="s">
        <v>378</v>
      </c>
      <c r="AW27" s="29" t="s">
        <v>311</v>
      </c>
      <c r="AX27" s="29" t="s">
        <v>311</v>
      </c>
      <c r="AY27" s="51" t="s">
        <v>314</v>
      </c>
      <c r="AZ27" s="51"/>
      <c r="BA27" s="66" t="s">
        <v>379</v>
      </c>
      <c r="BB27" s="29"/>
      <c r="BC27" s="43" t="s">
        <v>394</v>
      </c>
      <c r="BD27" s="66">
        <v>19841594</v>
      </c>
      <c r="BE27" s="29" t="s">
        <v>717</v>
      </c>
      <c r="BF27" s="29">
        <v>7519836</v>
      </c>
      <c r="BG27" s="51">
        <f t="shared" si="3"/>
        <v>1510.0072289156626</v>
      </c>
      <c r="BH27" s="51">
        <v>10183577</v>
      </c>
      <c r="BI27" s="102">
        <v>1970301</v>
      </c>
      <c r="BJ27" s="51" t="s">
        <v>759</v>
      </c>
      <c r="BK27" s="51">
        <f t="shared" si="1"/>
        <v>2044.8949799196787</v>
      </c>
      <c r="BL27" s="51">
        <f>'log(debt) vs log(pop.) normaliz'!H27</f>
        <v>0.55371187487537554</v>
      </c>
    </row>
    <row r="28" spans="1:64" ht="162.5" x14ac:dyDescent="0.35">
      <c r="A28" s="6" t="s">
        <v>181</v>
      </c>
      <c r="B28" s="32" t="s">
        <v>188</v>
      </c>
      <c r="C28" s="78" t="s">
        <v>314</v>
      </c>
      <c r="D28" s="58"/>
      <c r="E28" s="45"/>
      <c r="F28" s="35"/>
      <c r="G28" s="58"/>
      <c r="H28" s="45" t="s">
        <v>586</v>
      </c>
      <c r="I28" s="44"/>
      <c r="J28" s="30"/>
      <c r="K28" s="30"/>
      <c r="L28" s="30">
        <v>2595</v>
      </c>
      <c r="M28" s="55">
        <v>2420</v>
      </c>
      <c r="N28" s="55">
        <f t="shared" si="4"/>
        <v>-6.7437379576107901</v>
      </c>
      <c r="O28" s="55" t="str" cm="1">
        <f t="array" ref="O28">IF(M28 &gt; MEDIAN(_xlfn._xlws.FILTER(M:M, C:C="Y")),"Y","N")</f>
        <v>Y</v>
      </c>
      <c r="P28" s="30" t="str">
        <f t="shared" si="2"/>
        <v>N</v>
      </c>
      <c r="Q28" s="45" t="str" cm="1">
        <f t="array" ref="Q28">IF(N28 &gt; MEDIAN(_xlfn._xlws.FILTER(N:N, C:C="Y")), "Y", "N")</f>
        <v>N</v>
      </c>
      <c r="R28" s="44"/>
      <c r="S28" s="30"/>
      <c r="T28" s="55"/>
      <c r="U28" s="45"/>
      <c r="V28" s="44"/>
      <c r="W28" s="30"/>
      <c r="X28" s="30"/>
      <c r="Y28" s="55" t="str">
        <f t="shared" si="0"/>
        <v/>
      </c>
      <c r="Z28" s="55"/>
      <c r="AA28" s="55"/>
      <c r="AB28" s="55"/>
      <c r="AC28" s="55"/>
      <c r="AD28" s="45"/>
      <c r="AE28" s="44"/>
      <c r="AF28" s="30"/>
      <c r="AG28" s="30"/>
      <c r="AH28" s="30"/>
      <c r="AI28" s="30"/>
      <c r="AJ28" s="30"/>
      <c r="AK28" s="30"/>
      <c r="AL28" s="30"/>
      <c r="AM28" s="30"/>
      <c r="AN28" s="45"/>
      <c r="AO28" s="44"/>
      <c r="AP28" s="30"/>
      <c r="AQ28" s="30"/>
      <c r="AR28" s="30"/>
      <c r="AS28" s="55"/>
      <c r="AT28" s="45"/>
      <c r="AU28" s="44"/>
      <c r="AV28" s="30"/>
      <c r="AW28" s="30"/>
      <c r="AX28" s="30"/>
      <c r="AY28" s="55"/>
      <c r="AZ28" s="55"/>
      <c r="BA28" s="49"/>
      <c r="BB28" s="30"/>
      <c r="BC28" s="45"/>
      <c r="BD28" s="49">
        <v>6189987</v>
      </c>
      <c r="BE28" s="30" t="s">
        <v>718</v>
      </c>
      <c r="BF28" s="30">
        <v>1310586</v>
      </c>
      <c r="BG28" s="55">
        <f t="shared" si="3"/>
        <v>541.56446280991736</v>
      </c>
      <c r="BH28" s="55">
        <v>1618092</v>
      </c>
      <c r="BI28" s="104">
        <v>947727</v>
      </c>
      <c r="BJ28" s="55" t="s">
        <v>760</v>
      </c>
      <c r="BK28" s="55">
        <f t="shared" si="1"/>
        <v>668.63305785123964</v>
      </c>
      <c r="BL28" s="55">
        <f>'log(debt) vs log(pop.) normaliz'!H28</f>
        <v>-0.51893175495952626</v>
      </c>
    </row>
    <row r="29" spans="1:64" ht="162.5" x14ac:dyDescent="0.35">
      <c r="A29" s="6" t="s">
        <v>181</v>
      </c>
      <c r="B29" s="32" t="s">
        <v>193</v>
      </c>
      <c r="C29" s="76" t="s">
        <v>314</v>
      </c>
      <c r="D29" s="57"/>
      <c r="E29" s="43"/>
      <c r="F29" s="34"/>
      <c r="G29" s="59"/>
      <c r="H29" s="43" t="s">
        <v>586</v>
      </c>
      <c r="I29" s="42"/>
      <c r="J29" s="29"/>
      <c r="K29" s="29"/>
      <c r="L29" s="29">
        <v>2380</v>
      </c>
      <c r="M29" s="51">
        <v>1995</v>
      </c>
      <c r="N29" s="51">
        <f t="shared" si="4"/>
        <v>-16.176470588235293</v>
      </c>
      <c r="O29" s="51" t="str" cm="1">
        <f t="array" ref="O29">IF(M29 &gt; MEDIAN(_xlfn._xlws.FILTER(M:M, C:C="Y")),"Y","N")</f>
        <v>Y</v>
      </c>
      <c r="P29" s="51" t="str">
        <f t="shared" si="2"/>
        <v>N</v>
      </c>
      <c r="Q29" s="43" t="str" cm="1">
        <f t="array" ref="Q29">IF(N29 &gt; MEDIAN(_xlfn._xlws.FILTER(N:N, C:C="Y")), "Y", "N")</f>
        <v>N</v>
      </c>
      <c r="R29" s="42"/>
      <c r="S29" s="29"/>
      <c r="T29" s="51"/>
      <c r="U29" s="43"/>
      <c r="V29" s="42"/>
      <c r="W29" s="29"/>
      <c r="X29" s="29"/>
      <c r="Y29" s="51" t="str">
        <f t="shared" si="0"/>
        <v/>
      </c>
      <c r="Z29" s="51"/>
      <c r="AA29" s="51"/>
      <c r="AB29" s="51"/>
      <c r="AC29" s="51"/>
      <c r="AD29" s="43"/>
      <c r="AE29" s="42"/>
      <c r="AF29" s="29"/>
      <c r="AG29" s="29"/>
      <c r="AH29" s="29"/>
      <c r="AI29" s="29"/>
      <c r="AJ29" s="29"/>
      <c r="AK29" s="29"/>
      <c r="AL29" s="29"/>
      <c r="AM29" s="29"/>
      <c r="AN29" s="43"/>
      <c r="AO29" s="42"/>
      <c r="AP29" s="29"/>
      <c r="AQ29" s="29"/>
      <c r="AR29" s="29"/>
      <c r="AS29" s="51"/>
      <c r="AT29" s="43"/>
      <c r="AU29" s="42"/>
      <c r="AV29" s="29"/>
      <c r="AW29" s="29"/>
      <c r="AX29" s="29"/>
      <c r="AY29" s="51"/>
      <c r="AZ29" s="51"/>
      <c r="BA29" s="66"/>
      <c r="BB29" s="29"/>
      <c r="BC29" s="43"/>
      <c r="BD29" s="66">
        <v>8231324</v>
      </c>
      <c r="BE29" s="29" t="s">
        <v>719</v>
      </c>
      <c r="BF29" s="29">
        <v>4054132</v>
      </c>
      <c r="BG29" s="51">
        <f t="shared" si="3"/>
        <v>2032.1463659147869</v>
      </c>
      <c r="BH29" s="51">
        <v>5251721</v>
      </c>
      <c r="BI29" s="102">
        <v>806343</v>
      </c>
      <c r="BJ29" s="51" t="s">
        <v>761</v>
      </c>
      <c r="BK29" s="51">
        <f t="shared" si="1"/>
        <v>2632.441604010025</v>
      </c>
      <c r="BL29" s="51">
        <f>'log(debt) vs log(pop.) normaliz'!H29</f>
        <v>0.86360189190884995</v>
      </c>
    </row>
    <row r="30" spans="1:64" ht="162.5" x14ac:dyDescent="0.35">
      <c r="A30" s="6" t="s">
        <v>181</v>
      </c>
      <c r="B30" s="32" t="s">
        <v>201</v>
      </c>
      <c r="C30" s="78" t="s">
        <v>311</v>
      </c>
      <c r="D30" s="58"/>
      <c r="E30" s="45" t="s">
        <v>397</v>
      </c>
      <c r="F30" s="35" t="s">
        <v>311</v>
      </c>
      <c r="G30" s="58" t="s">
        <v>398</v>
      </c>
      <c r="H30" s="45" t="s">
        <v>586</v>
      </c>
      <c r="I30" s="44" t="s">
        <v>314</v>
      </c>
      <c r="J30" s="30" t="s">
        <v>313</v>
      </c>
      <c r="K30" s="30"/>
      <c r="L30" s="30">
        <v>1700</v>
      </c>
      <c r="M30" s="55">
        <v>1815</v>
      </c>
      <c r="N30" s="55">
        <f t="shared" si="4"/>
        <v>6.7647058823529411</v>
      </c>
      <c r="O30" s="55" t="str" cm="1">
        <f t="array" ref="O30">IF(M30 &gt; MEDIAN(_xlfn._xlws.FILTER(M:M, C:C="Y")),"Y","N")</f>
        <v>N</v>
      </c>
      <c r="P30" s="30" t="str">
        <f t="shared" si="2"/>
        <v>N</v>
      </c>
      <c r="Q30" s="45" t="str" cm="1">
        <f t="array" ref="Q30">IF(N30 &gt; MEDIAN(_xlfn._xlws.FILTER(N:N, C:C="Y")), "Y", "N")</f>
        <v>Y</v>
      </c>
      <c r="R30" s="44" t="s">
        <v>314</v>
      </c>
      <c r="S30" s="30" t="s">
        <v>399</v>
      </c>
      <c r="T30" s="55" t="s">
        <v>314</v>
      </c>
      <c r="U30" s="45" t="s">
        <v>311</v>
      </c>
      <c r="V30" s="44" t="s">
        <v>314</v>
      </c>
      <c r="W30" s="30" t="s">
        <v>400</v>
      </c>
      <c r="X30" s="30" t="s">
        <v>314</v>
      </c>
      <c r="Y30" s="55" t="str">
        <f t="shared" si="0"/>
        <v>N</v>
      </c>
      <c r="Z30" s="55" t="s">
        <v>311</v>
      </c>
      <c r="AA30" s="55" t="s">
        <v>314</v>
      </c>
      <c r="AB30" s="55" t="s">
        <v>314</v>
      </c>
      <c r="AC30" s="55" t="s">
        <v>314</v>
      </c>
      <c r="AD30" s="45" t="s">
        <v>314</v>
      </c>
      <c r="AE30" s="44" t="s">
        <v>311</v>
      </c>
      <c r="AF30" s="30" t="s">
        <v>577</v>
      </c>
      <c r="AG30" s="30" t="s">
        <v>314</v>
      </c>
      <c r="AH30" s="30" t="s">
        <v>311</v>
      </c>
      <c r="AI30" s="30" t="s">
        <v>314</v>
      </c>
      <c r="AJ30" s="30" t="s">
        <v>314</v>
      </c>
      <c r="AK30" s="30" t="s">
        <v>314</v>
      </c>
      <c r="AL30" s="30" t="s">
        <v>314</v>
      </c>
      <c r="AM30" s="30" t="s">
        <v>314</v>
      </c>
      <c r="AN30" s="30" t="s">
        <v>314</v>
      </c>
      <c r="AO30" s="44" t="s">
        <v>314</v>
      </c>
      <c r="AP30" s="30" t="s">
        <v>402</v>
      </c>
      <c r="AQ30" s="30" t="s">
        <v>319</v>
      </c>
      <c r="AR30" s="30" t="s">
        <v>319</v>
      </c>
      <c r="AS30" s="30" t="s">
        <v>319</v>
      </c>
      <c r="AT30" s="52" t="s">
        <v>319</v>
      </c>
      <c r="AU30" s="44" t="s">
        <v>311</v>
      </c>
      <c r="AV30" s="30" t="s">
        <v>401</v>
      </c>
      <c r="AW30" s="30" t="s">
        <v>311</v>
      </c>
      <c r="AX30" s="30" t="s">
        <v>314</v>
      </c>
      <c r="AY30" s="55" t="s">
        <v>314</v>
      </c>
      <c r="AZ30" s="55"/>
      <c r="BA30" s="49"/>
      <c r="BB30" s="30"/>
      <c r="BC30" s="45" t="s">
        <v>404</v>
      </c>
      <c r="BD30" s="49">
        <v>4802892</v>
      </c>
      <c r="BE30" s="30" t="s">
        <v>720</v>
      </c>
      <c r="BF30" s="30">
        <v>959289</v>
      </c>
      <c r="BG30" s="55">
        <f t="shared" si="3"/>
        <v>528.53388429752067</v>
      </c>
      <c r="BH30" s="55">
        <v>1751239</v>
      </c>
      <c r="BI30" s="103">
        <v>0</v>
      </c>
      <c r="BJ30" s="55" t="s">
        <v>762</v>
      </c>
      <c r="BK30" s="55">
        <f t="shared" si="1"/>
        <v>964.86997245179066</v>
      </c>
      <c r="BL30" s="55">
        <f>'log(debt) vs log(pop.) normaliz'!H30</f>
        <v>-0.13414634678665749</v>
      </c>
    </row>
    <row r="31" spans="1:64" ht="175" x14ac:dyDescent="0.35">
      <c r="A31" s="6" t="s">
        <v>181</v>
      </c>
      <c r="B31" s="32" t="s">
        <v>207</v>
      </c>
      <c r="C31" s="76" t="s">
        <v>311</v>
      </c>
      <c r="D31" s="57"/>
      <c r="E31" s="43" t="s">
        <v>415</v>
      </c>
      <c r="F31" s="34" t="s">
        <v>314</v>
      </c>
      <c r="G31" s="59"/>
      <c r="H31" s="43" t="s">
        <v>586</v>
      </c>
      <c r="I31" s="42" t="s">
        <v>314</v>
      </c>
      <c r="J31" s="29" t="s">
        <v>417</v>
      </c>
      <c r="K31" s="29" t="s">
        <v>594</v>
      </c>
      <c r="L31" s="29">
        <v>1110</v>
      </c>
      <c r="M31" s="51">
        <v>1085</v>
      </c>
      <c r="N31" s="51">
        <f t="shared" si="4"/>
        <v>-2.2522522522522523</v>
      </c>
      <c r="O31" s="51" t="str" cm="1">
        <f t="array" ref="O31">IF(M31 &gt; MEDIAN(_xlfn._xlws.FILTER(M:M, C:C="Y")),"Y","N")</f>
        <v>N</v>
      </c>
      <c r="P31" s="51" t="str">
        <f t="shared" si="2"/>
        <v>N</v>
      </c>
      <c r="Q31" s="43" t="str" cm="1">
        <f t="array" ref="Q31">IF(N31 &gt; MEDIAN(_xlfn._xlws.FILTER(N:N, C:C="Y")), "Y", "N")</f>
        <v>N</v>
      </c>
      <c r="R31" s="42" t="s">
        <v>314</v>
      </c>
      <c r="S31" s="29" t="s">
        <v>418</v>
      </c>
      <c r="T31" s="51" t="s">
        <v>311</v>
      </c>
      <c r="U31" s="43" t="s">
        <v>314</v>
      </c>
      <c r="V31" s="42" t="s">
        <v>314</v>
      </c>
      <c r="W31" s="29" t="s">
        <v>419</v>
      </c>
      <c r="X31" s="29" t="s">
        <v>314</v>
      </c>
      <c r="Y31" s="29" t="str">
        <f t="shared" si="0"/>
        <v>N</v>
      </c>
      <c r="Z31" s="29" t="s">
        <v>319</v>
      </c>
      <c r="AA31" s="29" t="s">
        <v>319</v>
      </c>
      <c r="AB31" s="29" t="s">
        <v>319</v>
      </c>
      <c r="AC31" s="51" t="s">
        <v>319</v>
      </c>
      <c r="AD31" s="51" t="s">
        <v>319</v>
      </c>
      <c r="AE31" s="42" t="s">
        <v>311</v>
      </c>
      <c r="AF31" s="29" t="s">
        <v>553</v>
      </c>
      <c r="AG31" s="29" t="s">
        <v>314</v>
      </c>
      <c r="AH31" s="29" t="s">
        <v>314</v>
      </c>
      <c r="AI31" s="29" t="s">
        <v>311</v>
      </c>
      <c r="AJ31" s="29" t="s">
        <v>314</v>
      </c>
      <c r="AK31" s="29" t="s">
        <v>314</v>
      </c>
      <c r="AL31" s="29" t="s">
        <v>314</v>
      </c>
      <c r="AM31" s="29" t="s">
        <v>314</v>
      </c>
      <c r="AN31" s="29" t="s">
        <v>314</v>
      </c>
      <c r="AO31" s="42" t="s">
        <v>311</v>
      </c>
      <c r="AP31" s="29" t="s">
        <v>421</v>
      </c>
      <c r="AQ31" s="29" t="s">
        <v>311</v>
      </c>
      <c r="AR31" s="51" t="s">
        <v>314</v>
      </c>
      <c r="AS31" s="51" t="s">
        <v>314</v>
      </c>
      <c r="AT31" s="43" t="s">
        <v>314</v>
      </c>
      <c r="AU31" s="42" t="s">
        <v>311</v>
      </c>
      <c r="AV31" s="29" t="s">
        <v>423</v>
      </c>
      <c r="AW31" s="29" t="s">
        <v>311</v>
      </c>
      <c r="AX31" s="29" t="s">
        <v>311</v>
      </c>
      <c r="AY31" s="51" t="s">
        <v>314</v>
      </c>
      <c r="AZ31" s="51"/>
      <c r="BA31" s="66"/>
      <c r="BB31" s="29"/>
      <c r="BC31" s="43" t="s">
        <v>424</v>
      </c>
      <c r="BD31" s="66">
        <v>4967321</v>
      </c>
      <c r="BE31" s="29" t="s">
        <v>721</v>
      </c>
      <c r="BF31" s="29">
        <v>2774647</v>
      </c>
      <c r="BG31" s="51">
        <f t="shared" si="3"/>
        <v>2557.278341013825</v>
      </c>
      <c r="BH31" s="51">
        <v>3170033</v>
      </c>
      <c r="BI31" s="102">
        <v>2715727</v>
      </c>
      <c r="BJ31" s="51" t="s">
        <v>763</v>
      </c>
      <c r="BK31" s="51">
        <f t="shared" si="1"/>
        <v>2921.6894009216589</v>
      </c>
      <c r="BL31" s="51">
        <f>'log(debt) vs log(pop.) normaliz'!H31</f>
        <v>1.0060188632244049</v>
      </c>
    </row>
    <row r="32" spans="1:64" ht="312.5" x14ac:dyDescent="0.35">
      <c r="A32" s="6" t="s">
        <v>181</v>
      </c>
      <c r="B32" s="32" t="s">
        <v>213</v>
      </c>
      <c r="C32" s="78" t="s">
        <v>311</v>
      </c>
      <c r="D32" s="58"/>
      <c r="E32" s="45" t="s">
        <v>517</v>
      </c>
      <c r="F32" s="35" t="s">
        <v>311</v>
      </c>
      <c r="G32" s="58" t="s">
        <v>511</v>
      </c>
      <c r="H32" s="45" t="s">
        <v>586</v>
      </c>
      <c r="I32" s="44" t="s">
        <v>314</v>
      </c>
      <c r="J32" s="30" t="s">
        <v>516</v>
      </c>
      <c r="K32" s="30" t="s">
        <v>595</v>
      </c>
      <c r="L32" s="30">
        <v>665</v>
      </c>
      <c r="M32" s="55">
        <v>600</v>
      </c>
      <c r="N32" s="55">
        <f t="shared" si="4"/>
        <v>-9.7744360902255636</v>
      </c>
      <c r="O32" s="55" t="str" cm="1">
        <f t="array" ref="O32">IF(M32 &gt; MEDIAN(_xlfn._xlws.FILTER(M:M, C:C="Y")),"Y","N")</f>
        <v>N</v>
      </c>
      <c r="P32" s="30" t="str">
        <f t="shared" si="2"/>
        <v>N</v>
      </c>
      <c r="Q32" s="45" t="str" cm="1">
        <f t="array" ref="Q32">IF(N32 &gt; MEDIAN(_xlfn._xlws.FILTER(N:N, C:C="Y")), "Y", "N")</f>
        <v>N</v>
      </c>
      <c r="R32" s="44" t="s">
        <v>314</v>
      </c>
      <c r="S32" s="30" t="s">
        <v>481</v>
      </c>
      <c r="T32" s="55" t="s">
        <v>314</v>
      </c>
      <c r="U32" s="45" t="s">
        <v>314</v>
      </c>
      <c r="V32" s="44" t="s">
        <v>311</v>
      </c>
      <c r="W32" s="30" t="s">
        <v>510</v>
      </c>
      <c r="X32" s="30" t="s">
        <v>311</v>
      </c>
      <c r="Y32" s="30" t="str">
        <f t="shared" si="0"/>
        <v>N</v>
      </c>
      <c r="Z32" s="30" t="s">
        <v>778</v>
      </c>
      <c r="AA32" s="30" t="s">
        <v>778</v>
      </c>
      <c r="AB32" s="30" t="s">
        <v>778</v>
      </c>
      <c r="AC32" s="30" t="s">
        <v>778</v>
      </c>
      <c r="AD32" s="30" t="s">
        <v>778</v>
      </c>
      <c r="AE32" s="44" t="s">
        <v>311</v>
      </c>
      <c r="AF32" s="30" t="s">
        <v>512</v>
      </c>
      <c r="AG32" s="30" t="s">
        <v>314</v>
      </c>
      <c r="AH32" s="30" t="s">
        <v>314</v>
      </c>
      <c r="AI32" s="30" t="s">
        <v>314</v>
      </c>
      <c r="AJ32" s="30" t="s">
        <v>314</v>
      </c>
      <c r="AK32" s="30" t="s">
        <v>314</v>
      </c>
      <c r="AL32" s="30" t="s">
        <v>314</v>
      </c>
      <c r="AM32" s="30" t="s">
        <v>311</v>
      </c>
      <c r="AN32" s="45" t="s">
        <v>311</v>
      </c>
      <c r="AO32" s="44" t="s">
        <v>319</v>
      </c>
      <c r="AP32" s="30"/>
      <c r="AQ32" s="30" t="s">
        <v>319</v>
      </c>
      <c r="AR32" s="30" t="s">
        <v>319</v>
      </c>
      <c r="AS32" s="30" t="s">
        <v>319</v>
      </c>
      <c r="AT32" s="30" t="s">
        <v>319</v>
      </c>
      <c r="AU32" s="44" t="s">
        <v>311</v>
      </c>
      <c r="AV32" s="30" t="s">
        <v>513</v>
      </c>
      <c r="AW32" s="30" t="s">
        <v>311</v>
      </c>
      <c r="AX32" s="30" t="s">
        <v>314</v>
      </c>
      <c r="AY32" s="55" t="s">
        <v>311</v>
      </c>
      <c r="AZ32" s="55"/>
      <c r="BA32" s="49" t="s">
        <v>514</v>
      </c>
      <c r="BB32" s="30"/>
      <c r="BC32" s="45" t="s">
        <v>424</v>
      </c>
      <c r="BD32" s="49">
        <v>2868407</v>
      </c>
      <c r="BE32" s="30" t="s">
        <v>722</v>
      </c>
      <c r="BF32" s="30">
        <v>1740031</v>
      </c>
      <c r="BG32" s="55">
        <f t="shared" si="3"/>
        <v>2900.0516666666667</v>
      </c>
      <c r="BH32" s="55">
        <v>1823648</v>
      </c>
      <c r="BI32" s="103">
        <v>1729798</v>
      </c>
      <c r="BJ32" s="55" t="s">
        <v>764</v>
      </c>
      <c r="BK32" s="55">
        <f t="shared" si="1"/>
        <v>3039.4133333333334</v>
      </c>
      <c r="BL32" s="55">
        <f>'log(debt) vs log(pop.) normaliz'!H32</f>
        <v>1.0826442141715731</v>
      </c>
    </row>
    <row r="33" spans="1:64" ht="162.5" x14ac:dyDescent="0.35">
      <c r="A33" s="6" t="s">
        <v>181</v>
      </c>
      <c r="B33" s="32" t="s">
        <v>219</v>
      </c>
      <c r="C33" s="76" t="s">
        <v>314</v>
      </c>
      <c r="D33" s="57"/>
      <c r="E33" s="43"/>
      <c r="F33" s="34"/>
      <c r="G33" s="59"/>
      <c r="H33" s="43" t="s">
        <v>586</v>
      </c>
      <c r="I33" s="42"/>
      <c r="J33" s="29"/>
      <c r="K33" s="29"/>
      <c r="L33" s="29">
        <v>945</v>
      </c>
      <c r="M33" s="51">
        <v>1095</v>
      </c>
      <c r="N33" s="51">
        <f t="shared" si="4"/>
        <v>15.873015873015872</v>
      </c>
      <c r="O33" s="51" t="str" cm="1">
        <f t="array" ref="O33">IF(M33 &gt; MEDIAN(_xlfn._xlws.FILTER(M:M, C:C="Y")),"Y","N")</f>
        <v>N</v>
      </c>
      <c r="P33" s="51" t="str">
        <f t="shared" si="2"/>
        <v>Y</v>
      </c>
      <c r="Q33" s="43" t="str" cm="1">
        <f t="array" ref="Q33">IF(N33 &gt; MEDIAN(_xlfn._xlws.FILTER(N:N, C:C="Y")), "Y", "N")</f>
        <v>Y</v>
      </c>
      <c r="R33" s="42"/>
      <c r="S33" s="29"/>
      <c r="T33" s="51"/>
      <c r="U33" s="43"/>
      <c r="V33" s="42"/>
      <c r="W33" s="29"/>
      <c r="X33" s="29"/>
      <c r="Y33" s="51" t="str">
        <f t="shared" si="0"/>
        <v/>
      </c>
      <c r="Z33" s="51"/>
      <c r="AA33" s="51"/>
      <c r="AB33" s="51"/>
      <c r="AC33" s="51"/>
      <c r="AD33" s="43"/>
      <c r="AE33" s="42"/>
      <c r="AF33" s="29"/>
      <c r="AG33" s="29"/>
      <c r="AH33" s="29"/>
      <c r="AI33" s="29"/>
      <c r="AJ33" s="29"/>
      <c r="AK33" s="29"/>
      <c r="AL33" s="29"/>
      <c r="AM33" s="29"/>
      <c r="AN33" s="43"/>
      <c r="AO33" s="42"/>
      <c r="AP33" s="29"/>
      <c r="AQ33" s="29"/>
      <c r="AR33" s="29"/>
      <c r="AS33" s="51"/>
      <c r="AT33" s="43"/>
      <c r="AU33" s="42"/>
      <c r="AV33" s="29"/>
      <c r="AW33" s="29"/>
      <c r="AX33" s="29"/>
      <c r="AY33" s="51"/>
      <c r="AZ33" s="51"/>
      <c r="BA33" s="66"/>
      <c r="BB33" s="29"/>
      <c r="BC33" s="43"/>
      <c r="BD33" s="66">
        <v>9387311</v>
      </c>
      <c r="BE33" s="29" t="s">
        <v>723</v>
      </c>
      <c r="BF33" s="29">
        <v>9540024</v>
      </c>
      <c r="BG33" s="51">
        <f t="shared" si="3"/>
        <v>8712.3506849315072</v>
      </c>
      <c r="BH33" s="51">
        <v>9620144</v>
      </c>
      <c r="BI33" s="102">
        <v>3694016</v>
      </c>
      <c r="BJ33" s="51" t="s">
        <v>765</v>
      </c>
      <c r="BK33" s="51">
        <f t="shared" si="1"/>
        <v>8785.5196347031961</v>
      </c>
      <c r="BL33" s="51">
        <f>'log(debt) vs log(pop.) normaliz'!H33</f>
        <v>2.1063868139824091</v>
      </c>
    </row>
    <row r="34" spans="1:64" ht="212.5" x14ac:dyDescent="0.35">
      <c r="A34" s="6" t="s">
        <v>181</v>
      </c>
      <c r="B34" s="32" t="s">
        <v>224</v>
      </c>
      <c r="C34" s="78" t="s">
        <v>311</v>
      </c>
      <c r="D34" s="58"/>
      <c r="E34" s="45" t="s">
        <v>437</v>
      </c>
      <c r="F34" s="35" t="s">
        <v>314</v>
      </c>
      <c r="G34" s="58" t="s">
        <v>554</v>
      </c>
      <c r="H34" s="45" t="s">
        <v>586</v>
      </c>
      <c r="I34" s="44" t="s">
        <v>311</v>
      </c>
      <c r="J34" s="30" t="s">
        <v>439</v>
      </c>
      <c r="K34" s="30"/>
      <c r="L34" s="30">
        <v>435</v>
      </c>
      <c r="M34" s="55">
        <v>590</v>
      </c>
      <c r="N34" s="55">
        <f t="shared" si="4"/>
        <v>35.632183908045981</v>
      </c>
      <c r="O34" s="55" t="str" cm="1">
        <f t="array" ref="O34">IF(M34 &gt; MEDIAN(_xlfn._xlws.FILTER(M:M, C:C="Y")),"Y","N")</f>
        <v>N</v>
      </c>
      <c r="P34" s="30" t="str">
        <f t="shared" si="2"/>
        <v>Y</v>
      </c>
      <c r="Q34" s="45" t="str" cm="1">
        <f t="array" ref="Q34">IF(N34 &gt; MEDIAN(_xlfn._xlws.FILTER(N:N, C:C="Y")), "Y", "N")</f>
        <v>Y</v>
      </c>
      <c r="R34" s="44" t="s">
        <v>314</v>
      </c>
      <c r="S34" s="30" t="s">
        <v>440</v>
      </c>
      <c r="T34" s="55" t="s">
        <v>311</v>
      </c>
      <c r="U34" s="45" t="s">
        <v>311</v>
      </c>
      <c r="V34" s="44" t="s">
        <v>311</v>
      </c>
      <c r="W34" s="30" t="s">
        <v>571</v>
      </c>
      <c r="X34" s="30" t="s">
        <v>314</v>
      </c>
      <c r="Y34" s="55" t="str">
        <f t="shared" si="0"/>
        <v>Y</v>
      </c>
      <c r="Z34" s="55" t="s">
        <v>311</v>
      </c>
      <c r="AA34" s="55" t="s">
        <v>314</v>
      </c>
      <c r="AB34" s="55" t="s">
        <v>311</v>
      </c>
      <c r="AC34" s="55" t="s">
        <v>314</v>
      </c>
      <c r="AD34" s="55" t="s">
        <v>314</v>
      </c>
      <c r="AE34" s="44" t="s">
        <v>311</v>
      </c>
      <c r="AF34" s="30" t="s">
        <v>442</v>
      </c>
      <c r="AG34" s="30" t="s">
        <v>311</v>
      </c>
      <c r="AH34" s="30" t="s">
        <v>314</v>
      </c>
      <c r="AI34" s="30" t="s">
        <v>314</v>
      </c>
      <c r="AJ34" s="30" t="s">
        <v>311</v>
      </c>
      <c r="AK34" s="30" t="s">
        <v>314</v>
      </c>
      <c r="AL34" s="30" t="s">
        <v>314</v>
      </c>
      <c r="AM34" s="30" t="s">
        <v>311</v>
      </c>
      <c r="AN34" s="30" t="s">
        <v>314</v>
      </c>
      <c r="AO34" s="44" t="s">
        <v>311</v>
      </c>
      <c r="AP34" s="30" t="s">
        <v>443</v>
      </c>
      <c r="AQ34" s="30" t="s">
        <v>314</v>
      </c>
      <c r="AR34" s="30" t="s">
        <v>311</v>
      </c>
      <c r="AS34" s="30" t="s">
        <v>314</v>
      </c>
      <c r="AT34" s="45" t="s">
        <v>314</v>
      </c>
      <c r="AU34" s="44" t="s">
        <v>311</v>
      </c>
      <c r="AV34" s="30" t="s">
        <v>444</v>
      </c>
      <c r="AW34" s="30" t="s">
        <v>311</v>
      </c>
      <c r="AX34" s="30" t="s">
        <v>311</v>
      </c>
      <c r="AY34" s="55" t="s">
        <v>314</v>
      </c>
      <c r="AZ34" s="55"/>
      <c r="BA34" s="49"/>
      <c r="BB34" s="30"/>
      <c r="BC34" s="45" t="s">
        <v>447</v>
      </c>
      <c r="BD34" s="49">
        <v>5345426</v>
      </c>
      <c r="BE34" s="30" t="s">
        <v>724</v>
      </c>
      <c r="BF34" s="30">
        <v>1430195</v>
      </c>
      <c r="BG34" s="55">
        <f t="shared" si="3"/>
        <v>2424.0593220338983</v>
      </c>
      <c r="BH34" s="55">
        <v>1593864</v>
      </c>
      <c r="BI34" s="103">
        <v>1402487</v>
      </c>
      <c r="BJ34" s="55" t="s">
        <v>766</v>
      </c>
      <c r="BK34" s="55">
        <f t="shared" si="1"/>
        <v>2701.4644067796612</v>
      </c>
      <c r="BL34" s="55">
        <f>'log(debt) vs log(pop.) normaliz'!H34</f>
        <v>0.96582690966879703</v>
      </c>
    </row>
    <row r="35" spans="1:64" ht="187.5" x14ac:dyDescent="0.35">
      <c r="A35" s="2" t="s">
        <v>230</v>
      </c>
      <c r="B35" s="32" t="s">
        <v>668</v>
      </c>
      <c r="C35" s="76" t="s">
        <v>311</v>
      </c>
      <c r="D35" s="57"/>
      <c r="E35" s="43" t="s">
        <v>556</v>
      </c>
      <c r="F35" s="34" t="s">
        <v>311</v>
      </c>
      <c r="G35" s="59" t="s">
        <v>560</v>
      </c>
      <c r="H35" s="43" t="s">
        <v>586</v>
      </c>
      <c r="I35" s="42" t="s">
        <v>314</v>
      </c>
      <c r="J35" s="29" t="s">
        <v>526</v>
      </c>
      <c r="K35" s="29" t="s">
        <v>596</v>
      </c>
      <c r="L35" s="29">
        <v>11370</v>
      </c>
      <c r="M35" s="51">
        <v>12075</v>
      </c>
      <c r="N35" s="51">
        <f t="shared" si="4"/>
        <v>6.2005277044854878</v>
      </c>
      <c r="O35" s="51" t="str" cm="1">
        <f t="array" ref="O35">IF(M35 &gt; MEDIAN(_xlfn._xlws.FILTER(M:M, C:C="Y")),"Y","N")</f>
        <v>Y</v>
      </c>
      <c r="P35" s="51" t="str">
        <f t="shared" si="2"/>
        <v>N</v>
      </c>
      <c r="Q35" s="43" t="str" cm="1">
        <f t="array" ref="Q35">IF(N35 &gt; MEDIAN(_xlfn._xlws.FILTER(N:N, C:C="Y")), "Y", "N")</f>
        <v>Y</v>
      </c>
      <c r="R35" s="42" t="s">
        <v>314</v>
      </c>
      <c r="S35" s="29" t="s">
        <v>481</v>
      </c>
      <c r="T35" s="51" t="s">
        <v>314</v>
      </c>
      <c r="U35" s="43" t="s">
        <v>314</v>
      </c>
      <c r="V35" s="42" t="s">
        <v>311</v>
      </c>
      <c r="W35" s="29" t="s">
        <v>527</v>
      </c>
      <c r="X35" s="29" t="s">
        <v>314</v>
      </c>
      <c r="Y35" s="29" t="str">
        <f t="shared" si="0"/>
        <v>N</v>
      </c>
      <c r="Z35" s="29" t="s">
        <v>311</v>
      </c>
      <c r="AA35" s="29" t="s">
        <v>314</v>
      </c>
      <c r="AB35" s="29" t="s">
        <v>314</v>
      </c>
      <c r="AC35" s="51" t="s">
        <v>314</v>
      </c>
      <c r="AD35" s="51" t="s">
        <v>314</v>
      </c>
      <c r="AE35" s="42" t="s">
        <v>311</v>
      </c>
      <c r="AF35" s="29" t="s">
        <v>578</v>
      </c>
      <c r="AG35" s="29" t="s">
        <v>314</v>
      </c>
      <c r="AH35" s="29" t="s">
        <v>314</v>
      </c>
      <c r="AI35" s="29" t="s">
        <v>311</v>
      </c>
      <c r="AJ35" s="29" t="s">
        <v>311</v>
      </c>
      <c r="AK35" s="29" t="s">
        <v>314</v>
      </c>
      <c r="AL35" s="29" t="s">
        <v>314</v>
      </c>
      <c r="AM35" s="29" t="s">
        <v>314</v>
      </c>
      <c r="AN35" s="29" t="s">
        <v>314</v>
      </c>
      <c r="AO35" s="42" t="s">
        <v>311</v>
      </c>
      <c r="AP35" s="29" t="s">
        <v>670</v>
      </c>
      <c r="AQ35" s="29" t="s">
        <v>314</v>
      </c>
      <c r="AR35" s="29" t="s">
        <v>314</v>
      </c>
      <c r="AS35" s="51" t="s">
        <v>314</v>
      </c>
      <c r="AT35" s="43" t="s">
        <v>311</v>
      </c>
      <c r="AU35" s="42" t="s">
        <v>311</v>
      </c>
      <c r="AV35" s="29" t="s">
        <v>530</v>
      </c>
      <c r="AW35" s="29" t="s">
        <v>311</v>
      </c>
      <c r="AX35" s="29" t="s">
        <v>311</v>
      </c>
      <c r="AY35" s="51" t="s">
        <v>314</v>
      </c>
      <c r="AZ35" s="51"/>
      <c r="BA35" s="66" t="s">
        <v>669</v>
      </c>
      <c r="BB35" s="29" t="s">
        <v>436</v>
      </c>
      <c r="BC35" s="43" t="s">
        <v>436</v>
      </c>
      <c r="BD35" s="66">
        <v>23030924</v>
      </c>
      <c r="BE35" s="29" t="s">
        <v>725</v>
      </c>
      <c r="BF35" s="29">
        <v>14107731</v>
      </c>
      <c r="BG35" s="51">
        <f t="shared" si="3"/>
        <v>1168.3421118012423</v>
      </c>
      <c r="BH35" s="51">
        <v>15525458</v>
      </c>
      <c r="BI35" s="102">
        <v>3555783</v>
      </c>
      <c r="BJ35" s="51" t="s">
        <v>767</v>
      </c>
      <c r="BK35" s="51">
        <f t="shared" si="1"/>
        <v>1285.7522153209109</v>
      </c>
      <c r="BL35" s="51">
        <f>'log(debt) vs log(pop.) normaliz'!H35</f>
        <v>3.42068952792971E-2</v>
      </c>
    </row>
    <row r="36" spans="1:64" ht="409.5" x14ac:dyDescent="0.35">
      <c r="A36" s="2" t="s">
        <v>230</v>
      </c>
      <c r="B36" s="32" t="s">
        <v>238</v>
      </c>
      <c r="C36" s="78" t="s">
        <v>311</v>
      </c>
      <c r="D36" s="58"/>
      <c r="E36" s="45" t="s">
        <v>687</v>
      </c>
      <c r="F36" s="35" t="s">
        <v>314</v>
      </c>
      <c r="G36" s="60" t="s">
        <v>675</v>
      </c>
      <c r="H36" s="45" t="s">
        <v>586</v>
      </c>
      <c r="I36" s="44" t="s">
        <v>311</v>
      </c>
      <c r="J36" s="30" t="s">
        <v>673</v>
      </c>
      <c r="K36" s="30"/>
      <c r="L36" s="30">
        <v>1510</v>
      </c>
      <c r="M36" s="55">
        <v>1590</v>
      </c>
      <c r="N36" s="55">
        <f t="shared" si="4"/>
        <v>5.298013245033113</v>
      </c>
      <c r="O36" s="55" t="str" cm="1">
        <f t="array" ref="O36">IF(M36 &gt; MEDIAN(_xlfn._xlws.FILTER(M:M, C:C="Y")),"Y","N")</f>
        <v>N</v>
      </c>
      <c r="P36" s="30" t="str">
        <f t="shared" si="2"/>
        <v>N</v>
      </c>
      <c r="Q36" s="45" t="str" cm="1">
        <f t="array" ref="Q36">IF(N36 &gt; MEDIAN(_xlfn._xlws.FILTER(N:N, C:C="Y")), "Y", "N")</f>
        <v>Y</v>
      </c>
      <c r="R36" s="44" t="s">
        <v>314</v>
      </c>
      <c r="S36" s="30" t="s">
        <v>676</v>
      </c>
      <c r="T36" s="55" t="s">
        <v>311</v>
      </c>
      <c r="U36" s="45" t="s">
        <v>311</v>
      </c>
      <c r="V36" s="44" t="s">
        <v>311</v>
      </c>
      <c r="W36" s="30" t="s">
        <v>677</v>
      </c>
      <c r="X36" s="30" t="s">
        <v>314</v>
      </c>
      <c r="Y36" s="55" t="str">
        <f t="shared" si="0"/>
        <v>Y</v>
      </c>
      <c r="Z36" s="55" t="s">
        <v>311</v>
      </c>
      <c r="AA36" s="55" t="s">
        <v>311</v>
      </c>
      <c r="AB36" s="55" t="s">
        <v>311</v>
      </c>
      <c r="AC36" s="55" t="s">
        <v>314</v>
      </c>
      <c r="AD36" s="45" t="s">
        <v>314</v>
      </c>
      <c r="AE36" s="44" t="s">
        <v>311</v>
      </c>
      <c r="AF36" s="30" t="s">
        <v>678</v>
      </c>
      <c r="AG36" s="30" t="s">
        <v>311</v>
      </c>
      <c r="AH36" s="30" t="s">
        <v>314</v>
      </c>
      <c r="AI36" s="30" t="s">
        <v>314</v>
      </c>
      <c r="AJ36" s="30" t="s">
        <v>311</v>
      </c>
      <c r="AK36" s="30" t="s">
        <v>314</v>
      </c>
      <c r="AL36" s="30" t="s">
        <v>314</v>
      </c>
      <c r="AM36" s="30" t="s">
        <v>311</v>
      </c>
      <c r="AN36" s="30" t="s">
        <v>314</v>
      </c>
      <c r="AO36" s="49" t="s">
        <v>311</v>
      </c>
      <c r="AP36" s="30" t="s">
        <v>679</v>
      </c>
      <c r="AQ36" s="30" t="s">
        <v>314</v>
      </c>
      <c r="AR36" s="30" t="s">
        <v>311</v>
      </c>
      <c r="AS36" s="55" t="s">
        <v>314</v>
      </c>
      <c r="AT36" s="45" t="s">
        <v>311</v>
      </c>
      <c r="AU36" s="44" t="s">
        <v>311</v>
      </c>
      <c r="AV36" s="30" t="s">
        <v>680</v>
      </c>
      <c r="AW36" s="30" t="s">
        <v>311</v>
      </c>
      <c r="AX36" s="30" t="s">
        <v>314</v>
      </c>
      <c r="AY36" s="55" t="s">
        <v>314</v>
      </c>
      <c r="AZ36" s="55" t="s">
        <v>319</v>
      </c>
      <c r="BA36" s="49" t="s">
        <v>686</v>
      </c>
      <c r="BB36" s="30"/>
      <c r="BC36" s="45"/>
      <c r="BD36" s="49">
        <v>12256562</v>
      </c>
      <c r="BE36" s="30" t="s">
        <v>726</v>
      </c>
      <c r="BF36" s="30">
        <v>12113850</v>
      </c>
      <c r="BG36" s="55">
        <f t="shared" si="3"/>
        <v>7618.7735849056608</v>
      </c>
      <c r="BH36" s="55">
        <v>12285634</v>
      </c>
      <c r="BI36" s="103">
        <v>10219872</v>
      </c>
      <c r="BJ36" s="55" t="s">
        <v>768</v>
      </c>
      <c r="BK36" s="55">
        <f t="shared" si="1"/>
        <v>7726.813836477987</v>
      </c>
      <c r="BL36" s="55">
        <f>'log(debt) vs log(pop.) normaliz'!H36</f>
        <v>1.9546059274116967</v>
      </c>
    </row>
    <row r="37" spans="1:64" ht="162.5" x14ac:dyDescent="0.35">
      <c r="A37" s="2" t="s">
        <v>230</v>
      </c>
      <c r="B37" s="32" t="s">
        <v>241</v>
      </c>
      <c r="C37" s="76" t="s">
        <v>314</v>
      </c>
      <c r="D37" s="57"/>
      <c r="E37" s="43"/>
      <c r="F37" s="34"/>
      <c r="G37" s="59"/>
      <c r="H37" s="43" t="s">
        <v>586</v>
      </c>
      <c r="I37" s="42"/>
      <c r="J37" s="29"/>
      <c r="K37" s="29"/>
      <c r="L37" s="29">
        <v>1005</v>
      </c>
      <c r="M37" s="51">
        <v>985</v>
      </c>
      <c r="N37" s="51">
        <f t="shared" si="4"/>
        <v>-1.9900497512437811</v>
      </c>
      <c r="O37" s="51" t="str" cm="1">
        <f t="array" ref="O37">IF(M37 &gt; MEDIAN(_xlfn._xlws.FILTER(M:M, C:C="Y")),"Y","N")</f>
        <v>N</v>
      </c>
      <c r="P37" s="51" t="str">
        <f t="shared" si="2"/>
        <v>N</v>
      </c>
      <c r="Q37" s="43" t="str" cm="1">
        <f t="array" ref="Q37">IF(N37 &gt; MEDIAN(_xlfn._xlws.FILTER(N:N, C:C="Y")), "Y", "N")</f>
        <v>N</v>
      </c>
      <c r="R37" s="42"/>
      <c r="S37" s="29"/>
      <c r="T37" s="51"/>
      <c r="U37" s="43"/>
      <c r="V37" s="42"/>
      <c r="W37" s="29"/>
      <c r="X37" s="29"/>
      <c r="Y37" s="51" t="str">
        <f t="shared" si="0"/>
        <v/>
      </c>
      <c r="Z37" s="51"/>
      <c r="AA37" s="51"/>
      <c r="AB37" s="51"/>
      <c r="AC37" s="51"/>
      <c r="AD37" s="43"/>
      <c r="AE37" s="42"/>
      <c r="AF37" s="29"/>
      <c r="AG37" s="29"/>
      <c r="AH37" s="29"/>
      <c r="AI37" s="29"/>
      <c r="AJ37" s="29"/>
      <c r="AK37" s="29"/>
      <c r="AL37" s="29"/>
      <c r="AM37" s="29"/>
      <c r="AN37" s="43"/>
      <c r="AO37" s="42"/>
      <c r="AP37" s="29"/>
      <c r="AQ37" s="29"/>
      <c r="AR37" s="29"/>
      <c r="AS37" s="51"/>
      <c r="AT37" s="43"/>
      <c r="AU37" s="42"/>
      <c r="AV37" s="29"/>
      <c r="AW37" s="29"/>
      <c r="AX37" s="29"/>
      <c r="AY37" s="51"/>
      <c r="AZ37" s="51"/>
      <c r="BA37" s="66"/>
      <c r="BB37" s="29"/>
      <c r="BC37" s="43"/>
      <c r="BD37" s="66">
        <v>1737117</v>
      </c>
      <c r="BE37" s="29" t="s">
        <v>727</v>
      </c>
      <c r="BF37" s="29">
        <v>188892</v>
      </c>
      <c r="BG37" s="51">
        <f t="shared" si="3"/>
        <v>191.76852791878173</v>
      </c>
      <c r="BH37" s="51">
        <v>214835</v>
      </c>
      <c r="BI37" s="102">
        <v>111198</v>
      </c>
      <c r="BJ37" s="51" t="s">
        <v>769</v>
      </c>
      <c r="BK37" s="51">
        <f t="shared" si="1"/>
        <v>218.10659898477158</v>
      </c>
      <c r="BL37" s="51">
        <f>'log(debt) vs log(pop.) normaliz'!H37</f>
        <v>-1.5828552320677449</v>
      </c>
    </row>
    <row r="38" spans="1:64" ht="112.5" x14ac:dyDescent="0.35">
      <c r="A38" s="4" t="s">
        <v>247</v>
      </c>
      <c r="B38" s="32" t="s">
        <v>557</v>
      </c>
      <c r="C38" s="78" t="s">
        <v>314</v>
      </c>
      <c r="D38" s="58"/>
      <c r="E38" s="45"/>
      <c r="F38" s="39" t="s">
        <v>311</v>
      </c>
      <c r="G38" s="60" t="s">
        <v>429</v>
      </c>
      <c r="H38" s="30" t="s">
        <v>586</v>
      </c>
      <c r="I38" s="44" t="s">
        <v>314</v>
      </c>
      <c r="J38" s="30" t="s">
        <v>666</v>
      </c>
      <c r="K38" s="30"/>
      <c r="L38" s="30">
        <v>4010</v>
      </c>
      <c r="M38" s="55">
        <v>4550</v>
      </c>
      <c r="N38" s="55">
        <f t="shared" si="4"/>
        <v>13.466334164588527</v>
      </c>
      <c r="O38" s="55" t="str" cm="1">
        <f t="array" ref="O38">IF(M38 &gt; MEDIAN(_xlfn._xlws.FILTER(M:M, C:C="Y")),"Y","N")</f>
        <v>Y</v>
      </c>
      <c r="P38" s="30" t="str">
        <f t="shared" si="2"/>
        <v>Y</v>
      </c>
      <c r="Q38" s="45" t="str" cm="1">
        <f t="array" ref="Q38">IF(N38 &gt; MEDIAN(_xlfn._xlws.FILTER(N:N, C:C="Y")), "Y", "N")</f>
        <v>Y</v>
      </c>
      <c r="R38" s="44" t="s">
        <v>311</v>
      </c>
      <c r="S38" s="30" t="s">
        <v>431</v>
      </c>
      <c r="T38" s="55" t="s">
        <v>778</v>
      </c>
      <c r="U38" s="45" t="s">
        <v>314</v>
      </c>
      <c r="V38" s="49" t="s">
        <v>319</v>
      </c>
      <c r="W38" s="30" t="s">
        <v>432</v>
      </c>
      <c r="X38" s="30" t="s">
        <v>314</v>
      </c>
      <c r="Y38" s="30" t="str">
        <f t="shared" si="0"/>
        <v/>
      </c>
      <c r="Z38" s="30" t="s">
        <v>319</v>
      </c>
      <c r="AA38" s="30" t="s">
        <v>319</v>
      </c>
      <c r="AB38" s="30" t="s">
        <v>319</v>
      </c>
      <c r="AC38" s="30" t="s">
        <v>319</v>
      </c>
      <c r="AD38" s="30" t="s">
        <v>319</v>
      </c>
      <c r="AE38" s="49"/>
      <c r="AF38" s="30"/>
      <c r="AG38" s="30"/>
      <c r="AH38" s="30"/>
      <c r="AI38" s="30"/>
      <c r="AJ38" s="30"/>
      <c r="AK38" s="30"/>
      <c r="AL38" s="30"/>
      <c r="AM38" s="30"/>
      <c r="AN38" s="45"/>
      <c r="AO38" s="49"/>
      <c r="AP38" s="30"/>
      <c r="AQ38" s="30"/>
      <c r="AR38" s="30"/>
      <c r="AS38" s="55"/>
      <c r="AT38" s="45"/>
      <c r="AU38" s="49"/>
      <c r="AV38" s="30"/>
      <c r="AW38" s="30"/>
      <c r="AX38" s="30"/>
      <c r="AY38" s="55"/>
      <c r="AZ38" s="55"/>
      <c r="BA38" s="49" t="s">
        <v>433</v>
      </c>
      <c r="BB38" s="30"/>
      <c r="BC38" s="45"/>
      <c r="BD38" s="49">
        <v>7189341</v>
      </c>
      <c r="BE38" s="30" t="s">
        <v>728</v>
      </c>
      <c r="BF38" s="30">
        <v>141314</v>
      </c>
      <c r="BG38" s="55">
        <f t="shared" si="3"/>
        <v>31.058021978021976</v>
      </c>
      <c r="BH38" s="55">
        <v>560544</v>
      </c>
      <c r="BI38" s="55"/>
      <c r="BJ38" s="55" t="s">
        <v>770</v>
      </c>
      <c r="BK38" s="55">
        <f t="shared" si="1"/>
        <v>123.19648351648351</v>
      </c>
      <c r="BL38" s="55">
        <f>'log(debt) vs log(pop.) normaliz'!H38</f>
        <v>-2.2499505519621934</v>
      </c>
    </row>
    <row r="39" spans="1:64" ht="162.5" x14ac:dyDescent="0.35">
      <c r="A39" s="4" t="s">
        <v>247</v>
      </c>
      <c r="B39" s="32" t="s">
        <v>252</v>
      </c>
      <c r="C39" s="76" t="s">
        <v>314</v>
      </c>
      <c r="D39" s="57"/>
      <c r="E39" s="43"/>
      <c r="F39" s="34"/>
      <c r="G39" s="59"/>
      <c r="H39" s="43" t="s">
        <v>586</v>
      </c>
      <c r="I39" s="42"/>
      <c r="J39" s="29"/>
      <c r="K39" s="29"/>
      <c r="L39" s="29">
        <v>500</v>
      </c>
      <c r="M39" s="51">
        <v>580</v>
      </c>
      <c r="N39" s="51">
        <f t="shared" si="4"/>
        <v>16</v>
      </c>
      <c r="O39" s="51" t="str" cm="1">
        <f t="array" ref="O39">IF(M39 &gt; MEDIAN(_xlfn._xlws.FILTER(M:M, C:C="Y")),"Y","N")</f>
        <v>N</v>
      </c>
      <c r="P39" s="51" t="str">
        <f t="shared" si="2"/>
        <v>Y</v>
      </c>
      <c r="Q39" s="43" t="str" cm="1">
        <f t="array" ref="Q39">IF(N39 &gt; MEDIAN(_xlfn._xlws.FILTER(N:N, C:C="Y")), "Y", "N")</f>
        <v>Y</v>
      </c>
      <c r="R39" s="42"/>
      <c r="S39" s="29"/>
      <c r="T39" s="51"/>
      <c r="U39" s="43"/>
      <c r="V39" s="42"/>
      <c r="W39" s="29"/>
      <c r="X39" s="29"/>
      <c r="Y39" s="51" t="str">
        <f t="shared" si="0"/>
        <v/>
      </c>
      <c r="Z39" s="51"/>
      <c r="AA39" s="51"/>
      <c r="AB39" s="51"/>
      <c r="AC39" s="51"/>
      <c r="AD39" s="43"/>
      <c r="AE39" s="42"/>
      <c r="AF39" s="29"/>
      <c r="AG39" s="29"/>
      <c r="AH39" s="29"/>
      <c r="AI39" s="29"/>
      <c r="AJ39" s="29"/>
      <c r="AK39" s="29"/>
      <c r="AL39" s="29"/>
      <c r="AM39" s="29"/>
      <c r="AN39" s="43"/>
      <c r="AO39" s="42"/>
      <c r="AP39" s="29"/>
      <c r="AQ39" s="29"/>
      <c r="AR39" s="29"/>
      <c r="AS39" s="51"/>
      <c r="AT39" s="43"/>
      <c r="AU39" s="42"/>
      <c r="AV39" s="29"/>
      <c r="AW39" s="29"/>
      <c r="AX39" s="29"/>
      <c r="AY39" s="51"/>
      <c r="AZ39" s="51"/>
      <c r="BA39" s="66"/>
      <c r="BB39" s="29" t="s">
        <v>473</v>
      </c>
      <c r="BC39" s="43" t="s">
        <v>475</v>
      </c>
      <c r="BD39" s="66">
        <v>2988781</v>
      </c>
      <c r="BE39" s="29" t="s">
        <v>729</v>
      </c>
      <c r="BF39" s="29">
        <v>5462684</v>
      </c>
      <c r="BG39" s="51">
        <f t="shared" si="3"/>
        <v>9418.4206896551732</v>
      </c>
      <c r="BH39" s="51">
        <v>5544678</v>
      </c>
      <c r="BI39" s="102">
        <v>4621496</v>
      </c>
      <c r="BJ39" s="51" t="s">
        <v>771</v>
      </c>
      <c r="BK39" s="51">
        <f t="shared" si="1"/>
        <v>9559.7896551724134</v>
      </c>
      <c r="BL39" s="51">
        <f>'log(debt) vs log(pop.) normaliz'!H39</f>
        <v>2.2306698504833484</v>
      </c>
    </row>
    <row r="40" spans="1:64" ht="187.5" x14ac:dyDescent="0.35">
      <c r="A40" s="5" t="s">
        <v>260</v>
      </c>
      <c r="B40" s="32" t="s">
        <v>261</v>
      </c>
      <c r="C40" s="78" t="s">
        <v>314</v>
      </c>
      <c r="D40" s="58"/>
      <c r="E40" s="45"/>
      <c r="F40" s="35"/>
      <c r="G40" s="58"/>
      <c r="H40" s="45" t="s">
        <v>586</v>
      </c>
      <c r="I40" s="44"/>
      <c r="J40" s="30"/>
      <c r="K40" s="30"/>
      <c r="L40" s="30">
        <v>31420</v>
      </c>
      <c r="M40" s="55">
        <v>33680</v>
      </c>
      <c r="N40" s="55">
        <f t="shared" si="4"/>
        <v>7.1928707829408021</v>
      </c>
      <c r="O40" s="55" t="str" cm="1">
        <f t="array" ref="O40">IF(M40 &gt; MEDIAN(_xlfn._xlws.FILTER(M:M, C:C="Y")),"Y","N")</f>
        <v>Y</v>
      </c>
      <c r="P40" s="30" t="str">
        <f t="shared" si="2"/>
        <v>N</v>
      </c>
      <c r="Q40" s="45" t="str" cm="1">
        <f t="array" ref="Q40">IF(N40 &gt; MEDIAN(_xlfn._xlws.FILTER(N:N, C:C="Y")), "Y", "N")</f>
        <v>Y</v>
      </c>
      <c r="R40" s="44"/>
      <c r="S40" s="30"/>
      <c r="T40" s="55"/>
      <c r="U40" s="45"/>
      <c r="V40" s="44"/>
      <c r="W40" s="30"/>
      <c r="X40" s="30"/>
      <c r="Y40" s="55" t="str">
        <f t="shared" si="0"/>
        <v/>
      </c>
      <c r="Z40" s="55"/>
      <c r="AA40" s="55"/>
      <c r="AB40" s="55"/>
      <c r="AC40" s="55"/>
      <c r="AD40" s="45"/>
      <c r="AE40" s="44"/>
      <c r="AF40" s="30"/>
      <c r="AG40" s="30"/>
      <c r="AH40" s="30"/>
      <c r="AI40" s="30"/>
      <c r="AJ40" s="30"/>
      <c r="AK40" s="30"/>
      <c r="AL40" s="30"/>
      <c r="AM40" s="30"/>
      <c r="AN40" s="45"/>
      <c r="AO40" s="44"/>
      <c r="AP40" s="30"/>
      <c r="AQ40" s="30"/>
      <c r="AR40" s="30"/>
      <c r="AS40" s="55"/>
      <c r="AT40" s="45"/>
      <c r="AU40" s="44"/>
      <c r="AV40" s="30"/>
      <c r="AW40" s="30"/>
      <c r="AX40" s="30"/>
      <c r="AY40" s="55"/>
      <c r="AZ40" s="55"/>
      <c r="BA40" s="49"/>
      <c r="BB40" s="30"/>
      <c r="BC40" s="45"/>
      <c r="BD40" s="49">
        <v>137148102</v>
      </c>
      <c r="BE40" s="30" t="s">
        <v>730</v>
      </c>
      <c r="BF40" s="30">
        <v>12361282</v>
      </c>
      <c r="BG40" s="55">
        <f t="shared" si="3"/>
        <v>367.0214370546318</v>
      </c>
      <c r="BH40" s="55">
        <v>21214275</v>
      </c>
      <c r="BI40" s="105">
        <v>0</v>
      </c>
      <c r="BJ40" s="55" t="s">
        <v>772</v>
      </c>
      <c r="BK40" s="55">
        <f t="shared" si="1"/>
        <v>629.87752375296907</v>
      </c>
      <c r="BL40" s="55">
        <f>'log(debt) vs log(pop.) normaliz'!H40</f>
        <v>-0.74364617405443667</v>
      </c>
    </row>
    <row r="41" spans="1:64" ht="187.5" x14ac:dyDescent="0.35">
      <c r="A41" s="5" t="s">
        <v>260</v>
      </c>
      <c r="B41" s="32" t="s">
        <v>267</v>
      </c>
      <c r="C41" s="76" t="s">
        <v>314</v>
      </c>
      <c r="D41" s="57"/>
      <c r="E41" s="43"/>
      <c r="F41" s="34"/>
      <c r="G41" s="59"/>
      <c r="H41" s="43" t="s">
        <v>586</v>
      </c>
      <c r="I41" s="42"/>
      <c r="J41" s="29"/>
      <c r="K41" s="29"/>
      <c r="L41" s="29">
        <v>2765</v>
      </c>
      <c r="M41" s="51">
        <v>2785</v>
      </c>
      <c r="N41" s="51">
        <f t="shared" si="4"/>
        <v>0.72332730560578662</v>
      </c>
      <c r="O41" s="51" t="str" cm="1">
        <f t="array" ref="O41">IF(M41 &gt; MEDIAN(_xlfn._xlws.FILTER(M:M, C:C="Y")),"Y","N")</f>
        <v>Y</v>
      </c>
      <c r="P41" s="51" t="str">
        <f t="shared" si="2"/>
        <v>N</v>
      </c>
      <c r="Q41" s="43" t="str" cm="1">
        <f t="array" ref="Q41">IF(N41 &gt; MEDIAN(_xlfn._xlws.FILTER(N:N, C:C="Y")), "Y", "N")</f>
        <v>N</v>
      </c>
      <c r="R41" s="42"/>
      <c r="S41" s="29"/>
      <c r="T41" s="51"/>
      <c r="U41" s="43"/>
      <c r="V41" s="42"/>
      <c r="W41" s="29"/>
      <c r="X41" s="29"/>
      <c r="Y41" s="51" t="str">
        <f t="shared" si="0"/>
        <v/>
      </c>
      <c r="Z41" s="51"/>
      <c r="AA41" s="51"/>
      <c r="AB41" s="51"/>
      <c r="AC41" s="51"/>
      <c r="AD41" s="43"/>
      <c r="AE41" s="42"/>
      <c r="AF41" s="29"/>
      <c r="AG41" s="29"/>
      <c r="AH41" s="29"/>
      <c r="AI41" s="29"/>
      <c r="AJ41" s="29"/>
      <c r="AK41" s="29"/>
      <c r="AL41" s="29"/>
      <c r="AM41" s="29"/>
      <c r="AN41" s="43"/>
      <c r="AO41" s="42"/>
      <c r="AP41" s="29"/>
      <c r="AQ41" s="29"/>
      <c r="AR41" s="29"/>
      <c r="AS41" s="51"/>
      <c r="AT41" s="43"/>
      <c r="AU41" s="42"/>
      <c r="AV41" s="29"/>
      <c r="AW41" s="29"/>
      <c r="AX41" s="29"/>
      <c r="AY41" s="51"/>
      <c r="AZ41" s="51"/>
      <c r="BA41" s="66"/>
      <c r="BB41" s="29"/>
      <c r="BC41" s="43"/>
      <c r="BD41" s="66">
        <v>6061259</v>
      </c>
      <c r="BE41" s="29" t="s">
        <v>731</v>
      </c>
      <c r="BF41" s="29">
        <v>0</v>
      </c>
      <c r="BG41" s="51">
        <f t="shared" si="3"/>
        <v>0</v>
      </c>
      <c r="BH41" s="51">
        <v>133034</v>
      </c>
      <c r="BI41" s="102">
        <v>0</v>
      </c>
      <c r="BJ41" s="51" t="s">
        <v>773</v>
      </c>
      <c r="BK41" s="51">
        <f t="shared" si="1"/>
        <v>47.768043087971272</v>
      </c>
      <c r="BL41" s="51">
        <f>'log(debt) vs log(pop.) normaliz'!H41</f>
        <v>-3.1666134506285264</v>
      </c>
    </row>
    <row r="42" spans="1:64" ht="187.5" x14ac:dyDescent="0.35">
      <c r="A42" s="5" t="s">
        <v>260</v>
      </c>
      <c r="B42" s="32" t="s">
        <v>275</v>
      </c>
      <c r="C42" s="78" t="s">
        <v>311</v>
      </c>
      <c r="D42" s="58"/>
      <c r="E42" s="45" t="s">
        <v>484</v>
      </c>
      <c r="F42" s="35" t="s">
        <v>314</v>
      </c>
      <c r="G42" s="58" t="s">
        <v>485</v>
      </c>
      <c r="H42" s="45" t="s">
        <v>586</v>
      </c>
      <c r="I42" s="44" t="s">
        <v>314</v>
      </c>
      <c r="J42" s="30" t="s">
        <v>482</v>
      </c>
      <c r="K42" s="30"/>
      <c r="L42" s="30">
        <v>1030</v>
      </c>
      <c r="M42" s="55">
        <v>1055</v>
      </c>
      <c r="N42" s="55">
        <f t="shared" si="4"/>
        <v>2.4271844660194173</v>
      </c>
      <c r="O42" s="55" t="str" cm="1">
        <f t="array" ref="O42">IF(M42 &gt; MEDIAN(_xlfn._xlws.FILTER(M:M, C:C="Y")),"Y","N")</f>
        <v>N</v>
      </c>
      <c r="P42" s="30" t="str">
        <f t="shared" si="2"/>
        <v>N</v>
      </c>
      <c r="Q42" s="45" t="str" cm="1">
        <f t="array" ref="Q42">IF(N42 &gt; MEDIAN(_xlfn._xlws.FILTER(N:N, C:C="Y")), "Y", "N")</f>
        <v>N</v>
      </c>
      <c r="R42" s="44" t="s">
        <v>314</v>
      </c>
      <c r="S42" s="30" t="s">
        <v>481</v>
      </c>
      <c r="T42" s="55" t="s">
        <v>314</v>
      </c>
      <c r="U42" s="45" t="s">
        <v>314</v>
      </c>
      <c r="V42" s="44" t="s">
        <v>314</v>
      </c>
      <c r="W42" s="30" t="s">
        <v>486</v>
      </c>
      <c r="X42" s="30" t="s">
        <v>314</v>
      </c>
      <c r="Y42" s="30" t="str">
        <f t="shared" si="0"/>
        <v>N</v>
      </c>
      <c r="Z42" s="30" t="s">
        <v>778</v>
      </c>
      <c r="AA42" s="30" t="s">
        <v>778</v>
      </c>
      <c r="AB42" s="30" t="s">
        <v>778</v>
      </c>
      <c r="AC42" s="30" t="s">
        <v>778</v>
      </c>
      <c r="AD42" s="30" t="s">
        <v>778</v>
      </c>
      <c r="AE42" s="44" t="s">
        <v>311</v>
      </c>
      <c r="AF42" s="30" t="s">
        <v>487</v>
      </c>
      <c r="AG42" s="30" t="s">
        <v>314</v>
      </c>
      <c r="AH42" s="30" t="s">
        <v>314</v>
      </c>
      <c r="AI42" s="30" t="s">
        <v>314</v>
      </c>
      <c r="AJ42" s="30" t="s">
        <v>314</v>
      </c>
      <c r="AK42" s="30" t="s">
        <v>314</v>
      </c>
      <c r="AL42" s="30" t="s">
        <v>314</v>
      </c>
      <c r="AM42" s="30" t="s">
        <v>311</v>
      </c>
      <c r="AN42" s="30" t="s">
        <v>314</v>
      </c>
      <c r="AO42" s="44" t="s">
        <v>319</v>
      </c>
      <c r="AP42" s="30"/>
      <c r="AQ42" s="30" t="s">
        <v>319</v>
      </c>
      <c r="AR42" s="30" t="s">
        <v>319</v>
      </c>
      <c r="AS42" s="30" t="s">
        <v>319</v>
      </c>
      <c r="AT42" s="30" t="s">
        <v>319</v>
      </c>
      <c r="AU42" s="44" t="s">
        <v>314</v>
      </c>
      <c r="AV42" s="30" t="s">
        <v>483</v>
      </c>
      <c r="AW42" s="30" t="s">
        <v>319</v>
      </c>
      <c r="AX42" s="30" t="s">
        <v>319</v>
      </c>
      <c r="AY42" s="55" t="s">
        <v>319</v>
      </c>
      <c r="AZ42" s="55"/>
      <c r="BA42" s="49" t="s">
        <v>489</v>
      </c>
      <c r="BB42" s="30"/>
      <c r="BC42" s="45" t="s">
        <v>491</v>
      </c>
      <c r="BD42" s="49">
        <v>2112535</v>
      </c>
      <c r="BE42" s="30" t="s">
        <v>732</v>
      </c>
      <c r="BF42" s="30">
        <v>1268804</v>
      </c>
      <c r="BG42" s="55">
        <f t="shared" si="3"/>
        <v>1202.6578199052133</v>
      </c>
      <c r="BH42" s="55">
        <v>1301015</v>
      </c>
      <c r="BI42" s="103">
        <v>1020899</v>
      </c>
      <c r="BJ42" s="55" t="s">
        <v>774</v>
      </c>
      <c r="BK42" s="55">
        <f t="shared" si="1"/>
        <v>1233.1895734597156</v>
      </c>
      <c r="BL42" s="55">
        <f>'log(debt) vs log(pop.) normaliz'!H42</f>
        <v>0.14521788030576133</v>
      </c>
    </row>
    <row r="43" spans="1:64" ht="162.5" x14ac:dyDescent="0.35">
      <c r="A43" s="5" t="s">
        <v>260</v>
      </c>
      <c r="B43" s="32" t="s">
        <v>280</v>
      </c>
      <c r="C43" s="76" t="s">
        <v>314</v>
      </c>
      <c r="D43" s="57"/>
      <c r="E43" s="43"/>
      <c r="F43" s="34"/>
      <c r="G43" s="59"/>
      <c r="H43" s="43" t="s">
        <v>586</v>
      </c>
      <c r="I43" s="42"/>
      <c r="J43" s="29"/>
      <c r="K43" s="29"/>
      <c r="L43" s="29">
        <v>775</v>
      </c>
      <c r="M43" s="51">
        <v>820</v>
      </c>
      <c r="N43" s="51">
        <f t="shared" si="4"/>
        <v>5.806451612903226</v>
      </c>
      <c r="O43" s="51" t="str" cm="1">
        <f t="array" ref="O43">IF(M43 &gt; MEDIAN(_xlfn._xlws.FILTER(M:M, C:C="Y")),"Y","N")</f>
        <v>N</v>
      </c>
      <c r="P43" s="51" t="str">
        <f t="shared" si="2"/>
        <v>N</v>
      </c>
      <c r="Q43" s="43" t="str" cm="1">
        <f t="array" ref="Q43">IF(N43 &gt; MEDIAN(_xlfn._xlws.FILTER(N:N, C:C="Y")), "Y", "N")</f>
        <v>Y</v>
      </c>
      <c r="R43" s="42"/>
      <c r="S43" s="29"/>
      <c r="T43" s="51"/>
      <c r="U43" s="43"/>
      <c r="V43" s="42"/>
      <c r="W43" s="29"/>
      <c r="X43" s="29"/>
      <c r="Y43" s="51" t="str">
        <f t="shared" si="0"/>
        <v/>
      </c>
      <c r="Z43" s="51"/>
      <c r="AA43" s="51"/>
      <c r="AB43" s="51"/>
      <c r="AC43" s="51"/>
      <c r="AD43" s="43"/>
      <c r="AE43" s="42"/>
      <c r="AF43" s="29"/>
      <c r="AG43" s="29"/>
      <c r="AH43" s="29"/>
      <c r="AI43" s="29"/>
      <c r="AJ43" s="29"/>
      <c r="AK43" s="29"/>
      <c r="AL43" s="29"/>
      <c r="AM43" s="29"/>
      <c r="AN43" s="43"/>
      <c r="AO43" s="42"/>
      <c r="AP43" s="29"/>
      <c r="AQ43" s="29"/>
      <c r="AR43" s="29"/>
      <c r="AS43" s="51"/>
      <c r="AT43" s="43"/>
      <c r="AU43" s="42"/>
      <c r="AV43" s="29"/>
      <c r="AW43" s="29"/>
      <c r="AX43" s="29"/>
      <c r="AY43" s="51"/>
      <c r="AZ43" s="51"/>
      <c r="BA43" s="66"/>
      <c r="BB43" s="29"/>
      <c r="BC43" s="43"/>
      <c r="BD43" s="66">
        <v>2326645</v>
      </c>
      <c r="BE43" s="29" t="s">
        <v>733</v>
      </c>
      <c r="BF43" s="29">
        <v>3248869</v>
      </c>
      <c r="BG43" s="51">
        <f t="shared" si="3"/>
        <v>3962.0353658536587</v>
      </c>
      <c r="BH43" s="51">
        <v>3748653</v>
      </c>
      <c r="BI43" s="102">
        <v>2528928</v>
      </c>
      <c r="BJ43" s="51" t="s">
        <v>775</v>
      </c>
      <c r="BK43" s="51">
        <f t="shared" si="1"/>
        <v>4571.5280487804876</v>
      </c>
      <c r="BL43" s="51">
        <f>'log(debt) vs log(pop.) normaliz'!H43</f>
        <v>1.4712523862255384</v>
      </c>
    </row>
    <row r="44" spans="1:64" ht="163" thickBot="1" x14ac:dyDescent="0.4">
      <c r="A44" s="5" t="s">
        <v>260</v>
      </c>
      <c r="B44" s="32" t="s">
        <v>287</v>
      </c>
      <c r="C44" s="77" t="s">
        <v>314</v>
      </c>
      <c r="D44" s="61"/>
      <c r="E44" s="47"/>
      <c r="F44" s="53"/>
      <c r="G44" s="61"/>
      <c r="H44" s="47" t="s">
        <v>586</v>
      </c>
      <c r="I44" s="46"/>
      <c r="J44" s="50"/>
      <c r="K44" s="50"/>
      <c r="L44" s="50">
        <v>555</v>
      </c>
      <c r="M44" s="56">
        <v>585</v>
      </c>
      <c r="N44" s="56">
        <f t="shared" si="4"/>
        <v>5.4054054054054053</v>
      </c>
      <c r="O44" s="55" t="str" cm="1">
        <f t="array" ref="O44">IF(M44 &gt; MEDIAN(_xlfn._xlws.FILTER(M:M, C:C="Y")),"Y","N")</f>
        <v>N</v>
      </c>
      <c r="P44" s="50" t="str">
        <f t="shared" si="2"/>
        <v>N</v>
      </c>
      <c r="Q44" s="47" t="str" cm="1">
        <f t="array" ref="Q44">IF(N44 &gt; MEDIAN(_xlfn._xlws.FILTER(N:N, C:C="Y")), "Y", "N")</f>
        <v>Y</v>
      </c>
      <c r="R44" s="46"/>
      <c r="S44" s="50"/>
      <c r="T44" s="56"/>
      <c r="U44" s="47"/>
      <c r="V44" s="46"/>
      <c r="W44" s="50"/>
      <c r="X44" s="50"/>
      <c r="Y44" s="56" t="str">
        <f t="shared" si="0"/>
        <v/>
      </c>
      <c r="Z44" s="56"/>
      <c r="AA44" s="56"/>
      <c r="AB44" s="56"/>
      <c r="AC44" s="56"/>
      <c r="AD44" s="47"/>
      <c r="AE44" s="46"/>
      <c r="AF44" s="50"/>
      <c r="AG44" s="50"/>
      <c r="AH44" s="50"/>
      <c r="AI44" s="50"/>
      <c r="AJ44" s="50"/>
      <c r="AK44" s="50"/>
      <c r="AL44" s="50"/>
      <c r="AM44" s="50"/>
      <c r="AN44" s="47"/>
      <c r="AO44" s="46"/>
      <c r="AP44" s="50"/>
      <c r="AQ44" s="50"/>
      <c r="AR44" s="50"/>
      <c r="AS44" s="56"/>
      <c r="AT44" s="47"/>
      <c r="AU44" s="46"/>
      <c r="AV44" s="50"/>
      <c r="AW44" s="50"/>
      <c r="AX44" s="50"/>
      <c r="AY44" s="56"/>
      <c r="AZ44" s="56"/>
      <c r="BA44" s="67"/>
      <c r="BB44" s="50"/>
      <c r="BC44" s="47"/>
      <c r="BD44" s="67">
        <v>1210429</v>
      </c>
      <c r="BE44" s="50" t="s">
        <v>734</v>
      </c>
      <c r="BF44" s="50">
        <v>915259</v>
      </c>
      <c r="BG44" s="56">
        <f t="shared" si="3"/>
        <v>1564.5452991452992</v>
      </c>
      <c r="BH44" s="56">
        <v>1095706</v>
      </c>
      <c r="BI44" s="106">
        <v>0</v>
      </c>
      <c r="BJ44" s="56" t="s">
        <v>776</v>
      </c>
      <c r="BK44" s="56">
        <f t="shared" si="1"/>
        <v>1873.0017094017094</v>
      </c>
      <c r="BL44" s="56">
        <f>'log(debt) vs log(pop.) normaliz'!H44</f>
        <v>0.60010856569981819</v>
      </c>
    </row>
    <row r="50" spans="3:17" x14ac:dyDescent="0.35">
      <c r="C50" t="s">
        <v>781</v>
      </c>
      <c r="E50" s="81" t="s">
        <v>820</v>
      </c>
    </row>
    <row r="51" spans="3:17" x14ac:dyDescent="0.35">
      <c r="E51" s="81" t="s">
        <v>821</v>
      </c>
    </row>
    <row r="52" spans="3:17" x14ac:dyDescent="0.35">
      <c r="E52" s="81" t="s">
        <v>822</v>
      </c>
    </row>
    <row r="53" spans="3:17" x14ac:dyDescent="0.35">
      <c r="E53" s="81" t="s">
        <v>823</v>
      </c>
    </row>
    <row r="64" spans="3:17" x14ac:dyDescent="0.35">
      <c r="P64" t="s">
        <v>824</v>
      </c>
      <c r="Q64">
        <f>MEDIAN(N:N)</f>
        <v>5.3517093252192591</v>
      </c>
    </row>
    <row r="66" spans="16:17" x14ac:dyDescent="0.35">
      <c r="P66" t="s">
        <v>825</v>
      </c>
      <c r="Q66" cm="1">
        <f t="array" ref="Q66">MEDIAN(_xlfn._xlws.FILTER(N:N, C:C="Y"))</f>
        <v>2.8925619834710745</v>
      </c>
    </row>
  </sheetData>
  <mergeCells count="11">
    <mergeCell ref="BD1:BL1"/>
    <mergeCell ref="A1:B1"/>
    <mergeCell ref="BA1:BC1"/>
    <mergeCell ref="F1:H1"/>
    <mergeCell ref="AU1:AZ1"/>
    <mergeCell ref="V1:AD1"/>
    <mergeCell ref="I1:Q1"/>
    <mergeCell ref="R1:U1"/>
    <mergeCell ref="AE1:AN1"/>
    <mergeCell ref="AO1:AT1"/>
    <mergeCell ref="C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D209E-0862-4A01-B578-9380BE16202E}">
  <dimension ref="A1:N44"/>
  <sheetViews>
    <sheetView workbookViewId="0">
      <selection activeCell="H20" sqref="H20"/>
    </sheetView>
  </sheetViews>
  <sheetFormatPr defaultRowHeight="14.5" x14ac:dyDescent="0.35"/>
  <cols>
    <col min="1" max="1" width="10.7265625" customWidth="1"/>
    <col min="2" max="2" width="13.90625" customWidth="1"/>
    <col min="3" max="3" width="14.90625" customWidth="1"/>
    <col min="4" max="4" width="15.54296875" customWidth="1"/>
    <col min="5" max="5" width="12.453125" customWidth="1"/>
    <col min="6" max="6" width="10" customWidth="1"/>
    <col min="7" max="7" width="12.1796875" customWidth="1"/>
    <col min="8" max="8" width="17.453125" customWidth="1"/>
    <col min="13" max="13" width="18.6328125" customWidth="1"/>
    <col min="14" max="14" width="16" customWidth="1"/>
  </cols>
  <sheetData>
    <row r="1" spans="1:14" x14ac:dyDescent="0.35">
      <c r="A1" s="115"/>
      <c r="B1" s="116"/>
      <c r="C1" s="92"/>
      <c r="D1" s="115"/>
      <c r="E1" s="108"/>
      <c r="F1" s="108"/>
      <c r="G1" s="108"/>
      <c r="H1" s="111"/>
    </row>
    <row r="2" spans="1:14" ht="78" x14ac:dyDescent="0.35">
      <c r="A2" s="40" t="s">
        <v>0</v>
      </c>
      <c r="B2" s="41" t="s">
        <v>547</v>
      </c>
      <c r="C2" s="93" t="s">
        <v>817</v>
      </c>
      <c r="D2" s="97" t="s">
        <v>816</v>
      </c>
      <c r="E2" s="54" t="s">
        <v>829</v>
      </c>
      <c r="F2" s="54" t="s">
        <v>830</v>
      </c>
      <c r="G2" s="54" t="s">
        <v>833</v>
      </c>
      <c r="H2" s="41" t="s">
        <v>834</v>
      </c>
      <c r="M2" s="80" t="s">
        <v>831</v>
      </c>
      <c r="N2" s="80" t="s">
        <v>832</v>
      </c>
    </row>
    <row r="3" spans="1:14" x14ac:dyDescent="0.35">
      <c r="A3" s="85" t="s">
        <v>14</v>
      </c>
      <c r="B3" s="86" t="s">
        <v>15</v>
      </c>
      <c r="C3" s="94" t="s">
        <v>311</v>
      </c>
      <c r="D3" s="98">
        <v>7816828</v>
      </c>
      <c r="E3" s="82">
        <f>LN('Full survey table'!BH3)</f>
        <v>15.871789403634306</v>
      </c>
      <c r="F3" s="51">
        <f>LN('Full survey table'!M3)</f>
        <v>9.1209625608249656</v>
      </c>
      <c r="G3" s="51">
        <f>N3 + M3 * F3</f>
        <v>16.228438512199531</v>
      </c>
      <c r="H3" s="43">
        <f>E3 - G3</f>
        <v>-0.35664910856522525</v>
      </c>
      <c r="M3" cm="1">
        <f t="array" ref="M3">SLOPE(_xlfn._xlws.FILTER(E3:E44,C3:C44="Y"),_xlfn._xlws.FILTER(F3:F44,C3:C44="Y"))</f>
        <v>1.0626645779036106</v>
      </c>
      <c r="N3" cm="1">
        <f t="array" ref="N3">INTERCEPT(_xlfn._xlws.FILTER(E3:E44,C3:C44="Y"),_xlfn._xlws.FILTER(F3:F44,C3:C44="Y"))</f>
        <v>6.535914682425835</v>
      </c>
    </row>
    <row r="4" spans="1:14" x14ac:dyDescent="0.35">
      <c r="A4" s="85" t="s">
        <v>14</v>
      </c>
      <c r="B4" s="86" t="s">
        <v>25</v>
      </c>
      <c r="C4" s="95" t="s">
        <v>314</v>
      </c>
      <c r="D4" s="99">
        <v>7424624</v>
      </c>
      <c r="E4" s="83">
        <f>LN('Full survey table'!BH4)</f>
        <v>15.820312601640163</v>
      </c>
      <c r="F4" s="55">
        <f>LN('Full survey table'!M4)</f>
        <v>7.4899708988348008</v>
      </c>
      <c r="G4" s="55">
        <f>N3 + M3 * F4</f>
        <v>14.495241446146444</v>
      </c>
      <c r="H4" s="45">
        <f>E4 - G4</f>
        <v>1.3250711554937187</v>
      </c>
    </row>
    <row r="5" spans="1:14" ht="26" x14ac:dyDescent="0.35">
      <c r="A5" s="87" t="s">
        <v>32</v>
      </c>
      <c r="B5" s="86" t="s">
        <v>667</v>
      </c>
      <c r="C5" s="94" t="s">
        <v>311</v>
      </c>
      <c r="D5" s="98">
        <v>5933169</v>
      </c>
      <c r="E5" s="82">
        <f>LN('Full survey table'!BH5)</f>
        <v>15.596069029581432</v>
      </c>
      <c r="F5" s="51">
        <f>LN('Full survey table'!M5)</f>
        <v>8.8873764853797628</v>
      </c>
      <c r="G5" s="51">
        <f>N3 + M3 * F5</f>
        <v>15.980214863932394</v>
      </c>
      <c r="H5" s="43">
        <f t="shared" ref="H5:H44" si="0">E5 - G5</f>
        <v>-0.38414583435096183</v>
      </c>
    </row>
    <row r="6" spans="1:14" x14ac:dyDescent="0.35">
      <c r="A6" s="88" t="s">
        <v>60</v>
      </c>
      <c r="B6" s="86" t="s">
        <v>40</v>
      </c>
      <c r="C6" s="95" t="s">
        <v>311</v>
      </c>
      <c r="D6" s="99">
        <v>63665714</v>
      </c>
      <c r="E6" s="83">
        <f>LN('Full survey table'!BH6)</f>
        <v>17.969156733880055</v>
      </c>
      <c r="F6" s="55">
        <f>LN('Full survey table'!M6)</f>
        <v>10.551375826690458</v>
      </c>
      <c r="G6" s="55">
        <f>N3 + M3 * F6</f>
        <v>17.748488021598213</v>
      </c>
      <c r="H6" s="45">
        <f t="shared" si="0"/>
        <v>0.22066871228184226</v>
      </c>
    </row>
    <row r="7" spans="1:14" x14ac:dyDescent="0.35">
      <c r="A7" s="88" t="s">
        <v>39</v>
      </c>
      <c r="B7" s="86" t="s">
        <v>47</v>
      </c>
      <c r="C7" s="94" t="s">
        <v>314</v>
      </c>
      <c r="D7" s="98">
        <v>18018433</v>
      </c>
      <c r="E7" s="82">
        <f>LN('Full survey table'!BH7)</f>
        <v>16.7069058474288</v>
      </c>
      <c r="F7" s="51">
        <f>LN('Full survey table'!M7)</f>
        <v>9.455636727931525</v>
      </c>
      <c r="G7" s="51">
        <f>N3 + M3 * F7</f>
        <v>16.584084894723066</v>
      </c>
      <c r="H7" s="43">
        <f t="shared" si="0"/>
        <v>0.12282095270573379</v>
      </c>
    </row>
    <row r="8" spans="1:14" x14ac:dyDescent="0.35">
      <c r="A8" s="88" t="s">
        <v>39</v>
      </c>
      <c r="B8" s="86" t="s">
        <v>54</v>
      </c>
      <c r="C8" s="95" t="s">
        <v>314</v>
      </c>
      <c r="D8" s="99">
        <v>6060122</v>
      </c>
      <c r="E8" s="83">
        <f>LN('Full survey table'!BH8)</f>
        <v>15.617240489856052</v>
      </c>
      <c r="F8" s="55">
        <f>LN('Full survey table'!M8)</f>
        <v>7.8099470864767904</v>
      </c>
      <c r="G8" s="55">
        <f>N3 + M3 * F8</f>
        <v>14.835268806526226</v>
      </c>
      <c r="H8" s="45">
        <f t="shared" si="0"/>
        <v>0.78197168332982514</v>
      </c>
    </row>
    <row r="9" spans="1:14" ht="26" customHeight="1" x14ac:dyDescent="0.35">
      <c r="A9" s="88" t="s">
        <v>39</v>
      </c>
      <c r="B9" s="86" t="s">
        <v>60</v>
      </c>
      <c r="C9" s="94" t="s">
        <v>311</v>
      </c>
      <c r="D9" s="98">
        <v>7023570</v>
      </c>
      <c r="E9" s="82">
        <f>LN('Full survey table'!BH9)</f>
        <v>15.764782193744335</v>
      </c>
      <c r="F9" s="51">
        <f>LN('Full survey table'!M9)</f>
        <v>8.7910298570459648</v>
      </c>
      <c r="G9" s="51">
        <f>N3 + M3 * F9</f>
        <v>15.877830714801624</v>
      </c>
      <c r="H9" s="43">
        <f t="shared" si="0"/>
        <v>-0.11304852105728891</v>
      </c>
    </row>
    <row r="10" spans="1:14" x14ac:dyDescent="0.35">
      <c r="A10" s="88" t="s">
        <v>39</v>
      </c>
      <c r="B10" s="86" t="s">
        <v>67</v>
      </c>
      <c r="C10" s="95" t="s">
        <v>314</v>
      </c>
      <c r="D10" s="99">
        <v>4170942</v>
      </c>
      <c r="E10" s="83">
        <f>LN('Full survey table'!BH10)</f>
        <v>15.243652467544159</v>
      </c>
      <c r="F10" s="55">
        <f>LN('Full survey table'!M10)</f>
        <v>8.0583273065809582</v>
      </c>
      <c r="G10" s="55">
        <f>N3 + M3 * F10</f>
        <v>15.099213668282829</v>
      </c>
      <c r="H10" s="45">
        <f t="shared" si="0"/>
        <v>0.14443879926133008</v>
      </c>
    </row>
    <row r="11" spans="1:14" x14ac:dyDescent="0.35">
      <c r="A11" s="89" t="s">
        <v>74</v>
      </c>
      <c r="B11" s="86" t="s">
        <v>75</v>
      </c>
      <c r="C11" s="94" t="s">
        <v>311</v>
      </c>
      <c r="D11" s="98">
        <v>432112</v>
      </c>
      <c r="E11" s="82">
        <f>LN('Full survey table'!BH11)</f>
        <v>12.976440092883632</v>
      </c>
      <c r="F11" s="51">
        <f>LN('Full survey table'!M11)</f>
        <v>6.9127428204931762</v>
      </c>
      <c r="G11" s="51">
        <f>N3 + M3 * F11</f>
        <v>13.881841613921431</v>
      </c>
      <c r="H11" s="43">
        <f t="shared" si="0"/>
        <v>-0.90540152103779903</v>
      </c>
    </row>
    <row r="12" spans="1:14" ht="26" x14ac:dyDescent="0.35">
      <c r="A12" s="85" t="s">
        <v>83</v>
      </c>
      <c r="B12" s="86" t="s">
        <v>84</v>
      </c>
      <c r="C12" s="95" t="s">
        <v>311</v>
      </c>
      <c r="D12" s="99">
        <v>38656768</v>
      </c>
      <c r="E12" s="83">
        <f>LN('Full survey table'!BH12)</f>
        <v>17.470232427628936</v>
      </c>
      <c r="F12" s="55">
        <f>LN('Full survey table'!M12)</f>
        <v>9.7468337424907521</v>
      </c>
      <c r="G12" s="55">
        <f>N3 + M3 * F12</f>
        <v>16.893529647286439</v>
      </c>
      <c r="H12" s="45">
        <f t="shared" si="0"/>
        <v>0.57670278034249733</v>
      </c>
    </row>
    <row r="13" spans="1:14" ht="26" x14ac:dyDescent="0.35">
      <c r="A13" s="85" t="s">
        <v>83</v>
      </c>
      <c r="B13" s="86" t="s">
        <v>89</v>
      </c>
      <c r="C13" s="94" t="s">
        <v>314</v>
      </c>
      <c r="D13" s="98">
        <v>25208098</v>
      </c>
      <c r="E13" s="82">
        <f>LN('Full survey table'!BH13)</f>
        <v>17.042675850066402</v>
      </c>
      <c r="F13" s="51">
        <f>LN('Full survey table'!M13)</f>
        <v>9.0825070004662987</v>
      </c>
      <c r="G13" s="51">
        <f>N3 + M3 * F13</f>
        <v>16.187573150382942</v>
      </c>
      <c r="H13" s="43">
        <f t="shared" si="0"/>
        <v>0.85510269968346009</v>
      </c>
    </row>
    <row r="14" spans="1:14" ht="26" x14ac:dyDescent="0.35">
      <c r="A14" s="85" t="s">
        <v>83</v>
      </c>
      <c r="B14" s="86" t="s">
        <v>96</v>
      </c>
      <c r="C14" s="95" t="s">
        <v>314</v>
      </c>
      <c r="D14" s="99">
        <v>14252693</v>
      </c>
      <c r="E14" s="83">
        <f>LN('Full survey table'!BH14)</f>
        <v>16.47245642928014</v>
      </c>
      <c r="F14" s="55">
        <f>LN('Full survey table'!M14)</f>
        <v>8.9398431242785019</v>
      </c>
      <c r="G14" s="55">
        <f>N3 + M3 * F14</f>
        <v>16.035969302611747</v>
      </c>
      <c r="H14" s="45">
        <f t="shared" si="0"/>
        <v>0.43648712666839273</v>
      </c>
    </row>
    <row r="15" spans="1:14" ht="26" x14ac:dyDescent="0.35">
      <c r="A15" s="85" t="s">
        <v>83</v>
      </c>
      <c r="B15" s="86" t="s">
        <v>103</v>
      </c>
      <c r="C15" s="94" t="s">
        <v>314</v>
      </c>
      <c r="D15" s="98">
        <v>3976430</v>
      </c>
      <c r="E15" s="82">
        <f>LN('Full survey table'!BH15)</f>
        <v>15.195894989804293</v>
      </c>
      <c r="F15" s="51">
        <f>LN('Full survey table'!M15)</f>
        <v>8.3272426074577925</v>
      </c>
      <c r="G15" s="51">
        <f>N3 + M3 * F15</f>
        <v>15.384980432980932</v>
      </c>
      <c r="H15" s="43">
        <f t="shared" si="0"/>
        <v>-0.18908544317663889</v>
      </c>
    </row>
    <row r="16" spans="1:14" ht="26" x14ac:dyDescent="0.35">
      <c r="A16" s="85" t="s">
        <v>83</v>
      </c>
      <c r="B16" s="86" t="s">
        <v>110</v>
      </c>
      <c r="C16" s="95" t="s">
        <v>311</v>
      </c>
      <c r="D16" s="99">
        <v>1840144</v>
      </c>
      <c r="E16" s="83">
        <f>LN('Full survey table'!BH16)</f>
        <v>14.425354387392511</v>
      </c>
      <c r="F16" s="55">
        <f>LN('Full survey table'!M16)</f>
        <v>8.1619457994686897</v>
      </c>
      <c r="G16" s="55">
        <f>N3 + M3 * F16</f>
        <v>15.209325370290378</v>
      </c>
      <c r="H16" s="45">
        <f t="shared" si="0"/>
        <v>-0.78397098289786626</v>
      </c>
    </row>
    <row r="17" spans="1:8" ht="26" x14ac:dyDescent="0.35">
      <c r="A17" s="85" t="s">
        <v>83</v>
      </c>
      <c r="B17" s="86" t="s">
        <v>117</v>
      </c>
      <c r="C17" s="94" t="s">
        <v>314</v>
      </c>
      <c r="D17" s="98">
        <v>13565568</v>
      </c>
      <c r="E17" s="82">
        <f>LN('Full survey table'!BH17)</f>
        <v>16.423045375664447</v>
      </c>
      <c r="F17" s="51">
        <f>LN('Full survey table'!M17)</f>
        <v>7.7514753180214564</v>
      </c>
      <c r="G17" s="51">
        <f>N3 + M3 * F17</f>
        <v>14.773132929381362</v>
      </c>
      <c r="H17" s="43">
        <f t="shared" si="0"/>
        <v>1.6499124462830856</v>
      </c>
    </row>
    <row r="18" spans="1:8" ht="26" x14ac:dyDescent="0.35">
      <c r="A18" s="85" t="s">
        <v>83</v>
      </c>
      <c r="B18" s="86" t="s">
        <v>123</v>
      </c>
      <c r="C18" s="95" t="s">
        <v>314</v>
      </c>
      <c r="D18" s="99">
        <v>3400333</v>
      </c>
      <c r="E18" s="83">
        <f>LN('Full survey table'!BH18)</f>
        <v>15.039383925966936</v>
      </c>
      <c r="F18" s="55">
        <f>LN('Full survey table'!M18)</f>
        <v>7.4265490723973047</v>
      </c>
      <c r="G18" s="55">
        <f>N3 + M3 * F18</f>
        <v>14.427845317725367</v>
      </c>
      <c r="H18" s="45">
        <f t="shared" si="0"/>
        <v>0.61153860824156858</v>
      </c>
    </row>
    <row r="19" spans="1:8" x14ac:dyDescent="0.35">
      <c r="A19" s="87" t="s">
        <v>131</v>
      </c>
      <c r="B19" s="86" t="s">
        <v>132</v>
      </c>
      <c r="C19" s="94" t="s">
        <v>314</v>
      </c>
      <c r="D19" s="98">
        <v>10136406</v>
      </c>
      <c r="E19" s="82">
        <f>LN('Full survey table'!BH19)</f>
        <v>16.13164405542954</v>
      </c>
      <c r="F19" s="51">
        <f>LN('Full survey table'!M19)</f>
        <v>8.1647948042447656</v>
      </c>
      <c r="G19" s="51">
        <f>N3 + M3 * F19</f>
        <v>15.212352906748192</v>
      </c>
      <c r="H19" s="43">
        <f t="shared" si="0"/>
        <v>0.91929114868134754</v>
      </c>
    </row>
    <row r="20" spans="1:8" x14ac:dyDescent="0.35">
      <c r="A20" s="87" t="s">
        <v>131</v>
      </c>
      <c r="B20" s="86" t="s">
        <v>140</v>
      </c>
      <c r="C20" s="95" t="s">
        <v>314</v>
      </c>
      <c r="D20" s="99">
        <v>10849934</v>
      </c>
      <c r="E20" s="83">
        <f>LN('Full survey table'!BH20)</f>
        <v>16.199669554982933</v>
      </c>
      <c r="F20" s="55">
        <f>LN('Full survey table'!M20)</f>
        <v>7.8438486381524717</v>
      </c>
      <c r="G20" s="55">
        <f>N3 + M3 * F20</f>
        <v>14.871294784627942</v>
      </c>
      <c r="H20" s="45">
        <f t="shared" si="0"/>
        <v>1.3283747703549906</v>
      </c>
    </row>
    <row r="21" spans="1:8" x14ac:dyDescent="0.35">
      <c r="A21" s="87" t="s">
        <v>131</v>
      </c>
      <c r="B21" s="86" t="s">
        <v>146</v>
      </c>
      <c r="C21" s="94" t="s">
        <v>314</v>
      </c>
      <c r="D21" s="98">
        <v>5049557</v>
      </c>
      <c r="E21" s="82">
        <f>LN('Full survey table'!BH21)</f>
        <v>15.434811074631398</v>
      </c>
      <c r="F21" s="51">
        <f>LN('Full survey table'!M21)</f>
        <v>6.6592939196836376</v>
      </c>
      <c r="G21" s="51">
        <f>N3 + M3 * F21</f>
        <v>13.612510444722528</v>
      </c>
      <c r="H21" s="43">
        <f t="shared" si="0"/>
        <v>1.8223006299088702</v>
      </c>
    </row>
    <row r="22" spans="1:8" ht="26" customHeight="1" x14ac:dyDescent="0.35">
      <c r="A22" s="88" t="s">
        <v>153</v>
      </c>
      <c r="B22" s="86" t="s">
        <v>154</v>
      </c>
      <c r="C22" s="95" t="s">
        <v>311</v>
      </c>
      <c r="D22" s="99">
        <v>461657</v>
      </c>
      <c r="E22" s="83">
        <f>LN('Full survey table'!BH22)</f>
        <v>13.042577470088091</v>
      </c>
      <c r="F22" s="55">
        <f>LN('Full survey table'!M22)</f>
        <v>7.4558766874918243</v>
      </c>
      <c r="G22" s="55">
        <f>N3 + M3 * F22</f>
        <v>14.459010735440705</v>
      </c>
      <c r="H22" s="45">
        <f t="shared" si="0"/>
        <v>-1.4164332653526142</v>
      </c>
    </row>
    <row r="23" spans="1:8" x14ac:dyDescent="0.35">
      <c r="A23" s="88" t="s">
        <v>153</v>
      </c>
      <c r="B23" s="86" t="s">
        <v>156</v>
      </c>
      <c r="C23" s="94" t="s">
        <v>314</v>
      </c>
      <c r="D23" s="98">
        <v>2879663</v>
      </c>
      <c r="E23" s="82">
        <f>LN('Full survey table'!BH23)</f>
        <v>14.873183831376581</v>
      </c>
      <c r="F23" s="51">
        <f>LN('Full survey table'!M23)</f>
        <v>6.7968237182748554</v>
      </c>
      <c r="G23" s="51">
        <f>N3 + M3 * F23</f>
        <v>13.758658490091634</v>
      </c>
      <c r="H23" s="43">
        <f t="shared" si="0"/>
        <v>1.1145253412849474</v>
      </c>
    </row>
    <row r="24" spans="1:8" ht="26" customHeight="1" x14ac:dyDescent="0.35">
      <c r="A24" s="88" t="s">
        <v>153</v>
      </c>
      <c r="B24" s="86" t="s">
        <v>163</v>
      </c>
      <c r="C24" s="95" t="s">
        <v>314</v>
      </c>
      <c r="D24" s="99">
        <v>36817</v>
      </c>
      <c r="E24" s="83">
        <f>LN('Full survey table'!BH24)</f>
        <v>10.513714974009698</v>
      </c>
      <c r="F24" s="55">
        <f>LN('Full survey table'!M24)</f>
        <v>6.0753460310886842</v>
      </c>
      <c r="G24" s="55">
        <f>N3 + M3 * F24</f>
        <v>12.991969708171068</v>
      </c>
      <c r="H24" s="45">
        <f t="shared" si="0"/>
        <v>-2.4782547341613697</v>
      </c>
    </row>
    <row r="25" spans="1:8" x14ac:dyDescent="0.35">
      <c r="A25" s="88" t="s">
        <v>153</v>
      </c>
      <c r="B25" s="86" t="s">
        <v>170</v>
      </c>
      <c r="C25" s="94" t="s">
        <v>314</v>
      </c>
      <c r="D25" s="98">
        <v>407362</v>
      </c>
      <c r="E25" s="82">
        <f>LN('Full survey table'!BH25)</f>
        <v>12.917457504001341</v>
      </c>
      <c r="F25" s="51">
        <f>LN('Full survey table'!M25)</f>
        <v>6.4846352356352517</v>
      </c>
      <c r="G25" s="51">
        <f>N3 + M3 * F25</f>
        <v>13.42690684796105</v>
      </c>
      <c r="H25" s="43">
        <f t="shared" si="0"/>
        <v>-0.50944934395970876</v>
      </c>
    </row>
    <row r="26" spans="1:8" x14ac:dyDescent="0.35">
      <c r="A26" s="88" t="s">
        <v>153</v>
      </c>
      <c r="B26" s="86" t="s">
        <v>178</v>
      </c>
      <c r="C26" s="95" t="s">
        <v>311</v>
      </c>
      <c r="D26" s="99">
        <v>82353</v>
      </c>
      <c r="E26" s="83">
        <f>LN('Full survey table'!BH26)</f>
        <v>11.31877016481473</v>
      </c>
      <c r="F26" s="55">
        <f>LN('Full survey table'!M26)</f>
        <v>6.8023947633243109</v>
      </c>
      <c r="G26" s="55">
        <f>N3 + M3 * F26</f>
        <v>13.764578642327596</v>
      </c>
      <c r="H26" s="45">
        <f t="shared" si="0"/>
        <v>-2.4458084775128661</v>
      </c>
    </row>
    <row r="27" spans="1:8" x14ac:dyDescent="0.35">
      <c r="A27" s="89" t="s">
        <v>181</v>
      </c>
      <c r="B27" s="86" t="s">
        <v>182</v>
      </c>
      <c r="C27" s="94" t="s">
        <v>311</v>
      </c>
      <c r="D27" s="98">
        <v>10183577</v>
      </c>
      <c r="E27" s="82">
        <f>LN('Full survey table'!BH27)</f>
        <v>16.136286882614407</v>
      </c>
      <c r="F27" s="51">
        <f>LN('Full survey table'!M27)</f>
        <v>8.5131851700186978</v>
      </c>
      <c r="G27" s="51">
        <f>N3 + M3 * F27</f>
        <v>15.582575007739031</v>
      </c>
      <c r="H27" s="43">
        <f t="shared" si="0"/>
        <v>0.55371187487537554</v>
      </c>
    </row>
    <row r="28" spans="1:8" ht="26" x14ac:dyDescent="0.35">
      <c r="A28" s="89" t="s">
        <v>181</v>
      </c>
      <c r="B28" s="86" t="s">
        <v>188</v>
      </c>
      <c r="C28" s="95" t="s">
        <v>314</v>
      </c>
      <c r="D28" s="99">
        <v>1618092</v>
      </c>
      <c r="E28" s="83">
        <f>LN('Full survey table'!BH28)</f>
        <v>14.296758235305472</v>
      </c>
      <c r="F28" s="55">
        <f>LN('Full survey table'!M28)</f>
        <v>7.7915228191507317</v>
      </c>
      <c r="G28" s="55">
        <f>N3 + M3 * F28</f>
        <v>14.815689990264998</v>
      </c>
      <c r="H28" s="45">
        <f t="shared" si="0"/>
        <v>-0.51893175495952626</v>
      </c>
    </row>
    <row r="29" spans="1:8" x14ac:dyDescent="0.35">
      <c r="A29" s="89" t="s">
        <v>181</v>
      </c>
      <c r="B29" s="86" t="s">
        <v>193</v>
      </c>
      <c r="C29" s="94" t="s">
        <v>314</v>
      </c>
      <c r="D29" s="98">
        <v>5251721</v>
      </c>
      <c r="E29" s="82">
        <f>LN('Full survey table'!BH29)</f>
        <v>15.474066390373814</v>
      </c>
      <c r="F29" s="51">
        <f>LN('Full survey table'!M29)</f>
        <v>7.5983993293239642</v>
      </c>
      <c r="G29" s="51">
        <f>N3 + M3 * F29</f>
        <v>14.610464498464964</v>
      </c>
      <c r="H29" s="43">
        <f t="shared" si="0"/>
        <v>0.86360189190884995</v>
      </c>
    </row>
    <row r="30" spans="1:8" x14ac:dyDescent="0.35">
      <c r="A30" s="89" t="s">
        <v>181</v>
      </c>
      <c r="B30" s="86" t="s">
        <v>201</v>
      </c>
      <c r="C30" s="95" t="s">
        <v>311</v>
      </c>
      <c r="D30" s="99">
        <v>1751239</v>
      </c>
      <c r="E30" s="83">
        <f>LN('Full survey table'!BH30)</f>
        <v>14.375834095385933</v>
      </c>
      <c r="F30" s="55">
        <f>LN('Full survey table'!M30)</f>
        <v>7.503840746698951</v>
      </c>
      <c r="G30" s="55">
        <f>N3 + M3 * F30</f>
        <v>14.509980442172591</v>
      </c>
      <c r="H30" s="45">
        <f t="shared" si="0"/>
        <v>-0.13414634678665749</v>
      </c>
    </row>
    <row r="31" spans="1:8" x14ac:dyDescent="0.35">
      <c r="A31" s="89" t="s">
        <v>181</v>
      </c>
      <c r="B31" s="86" t="s">
        <v>207</v>
      </c>
      <c r="C31" s="94" t="s">
        <v>311</v>
      </c>
      <c r="D31" s="98">
        <v>3170033</v>
      </c>
      <c r="E31" s="82">
        <f>LN('Full survey table'!BH31)</f>
        <v>14.969252555893917</v>
      </c>
      <c r="F31" s="51">
        <f>LN('Full survey table'!M31)</f>
        <v>6.9893352659745602</v>
      </c>
      <c r="G31" s="51">
        <f>N3 + M3 * F31</f>
        <v>13.963233692669512</v>
      </c>
      <c r="H31" s="43">
        <f t="shared" si="0"/>
        <v>1.0060188632244049</v>
      </c>
    </row>
    <row r="32" spans="1:8" x14ac:dyDescent="0.35">
      <c r="A32" s="89" t="s">
        <v>181</v>
      </c>
      <c r="B32" s="86" t="s">
        <v>213</v>
      </c>
      <c r="C32" s="95" t="s">
        <v>311</v>
      </c>
      <c r="D32" s="99">
        <v>1823648</v>
      </c>
      <c r="E32" s="83">
        <f>LN('Full survey table'!BH32)</f>
        <v>14.416349448536764</v>
      </c>
      <c r="F32" s="55">
        <f>LN('Full survey table'!M32)</f>
        <v>6.3969296552161463</v>
      </c>
      <c r="G32" s="55">
        <f>N3 + M3 * F32</f>
        <v>13.333705234365191</v>
      </c>
      <c r="H32" s="45">
        <f t="shared" si="0"/>
        <v>1.0826442141715731</v>
      </c>
    </row>
    <row r="33" spans="1:8" x14ac:dyDescent="0.35">
      <c r="A33" s="89" t="s">
        <v>181</v>
      </c>
      <c r="B33" s="86" t="s">
        <v>219</v>
      </c>
      <c r="C33" s="94" t="s">
        <v>314</v>
      </c>
      <c r="D33" s="98">
        <v>9620144</v>
      </c>
      <c r="E33" s="82">
        <f>LN('Full survey table'!BH33)</f>
        <v>16.079369791344828</v>
      </c>
      <c r="F33" s="51">
        <f>LN('Full survey table'!M33)</f>
        <v>6.9985096422506015</v>
      </c>
      <c r="G33" s="51">
        <f>N3 + M3 * F33</f>
        <v>13.972982977362419</v>
      </c>
      <c r="H33" s="43">
        <f t="shared" si="0"/>
        <v>2.1063868139824091</v>
      </c>
    </row>
    <row r="34" spans="1:8" x14ac:dyDescent="0.35">
      <c r="A34" s="89" t="s">
        <v>181</v>
      </c>
      <c r="B34" s="86" t="s">
        <v>224</v>
      </c>
      <c r="C34" s="95" t="s">
        <v>311</v>
      </c>
      <c r="D34" s="99">
        <v>1593864</v>
      </c>
      <c r="E34" s="83">
        <f>LN('Full survey table'!BH34)</f>
        <v>14.281671814742532</v>
      </c>
      <c r="F34" s="55">
        <f>LN('Full survey table'!M34)</f>
        <v>6.3801225368997647</v>
      </c>
      <c r="G34" s="55">
        <f>N3 + M3 * F34</f>
        <v>13.315844905073735</v>
      </c>
      <c r="H34" s="45">
        <f t="shared" si="0"/>
        <v>0.96582690966879703</v>
      </c>
    </row>
    <row r="35" spans="1:8" ht="39" x14ac:dyDescent="0.35">
      <c r="A35" s="85" t="s">
        <v>230</v>
      </c>
      <c r="B35" s="86" t="s">
        <v>668</v>
      </c>
      <c r="C35" s="94" t="s">
        <v>311</v>
      </c>
      <c r="D35" s="98">
        <v>15525458</v>
      </c>
      <c r="E35" s="82">
        <f>LN('Full survey table'!BH35)</f>
        <v>16.55799168615383</v>
      </c>
      <c r="F35" s="51">
        <f>LN('Full survey table'!M35)</f>
        <v>9.3988924785207733</v>
      </c>
      <c r="G35" s="51">
        <f>N3 + M3 * F35</f>
        <v>16.523784790874533</v>
      </c>
      <c r="H35" s="43">
        <f t="shared" si="0"/>
        <v>3.42068952792971E-2</v>
      </c>
    </row>
    <row r="36" spans="1:8" x14ac:dyDescent="0.35">
      <c r="A36" s="85" t="s">
        <v>230</v>
      </c>
      <c r="B36" s="86" t="s">
        <v>238</v>
      </c>
      <c r="C36" s="95" t="s">
        <v>311</v>
      </c>
      <c r="D36" s="99">
        <v>12285634</v>
      </c>
      <c r="E36" s="83">
        <f>LN('Full survey table'!BH36)</f>
        <v>16.323941170257395</v>
      </c>
      <c r="F36" s="55">
        <f>LN('Full survey table'!M36)</f>
        <v>7.3714892952142774</v>
      </c>
      <c r="G36" s="55">
        <f>N3 + M3 * F36</f>
        <v>14.369335242845699</v>
      </c>
      <c r="H36" s="45">
        <f t="shared" si="0"/>
        <v>1.9546059274116967</v>
      </c>
    </row>
    <row r="37" spans="1:8" ht="39" customHeight="1" x14ac:dyDescent="0.35">
      <c r="A37" s="85" t="s">
        <v>230</v>
      </c>
      <c r="B37" s="86" t="s">
        <v>241</v>
      </c>
      <c r="C37" s="94" t="s">
        <v>314</v>
      </c>
      <c r="D37" s="98">
        <v>214835</v>
      </c>
      <c r="E37" s="82">
        <f>LN('Full survey table'!BH37)</f>
        <v>12.277625570615077</v>
      </c>
      <c r="F37" s="51">
        <f>LN('Full survey table'!M37)</f>
        <v>6.892641641172089</v>
      </c>
      <c r="G37" s="51">
        <f>N3 + M3 * F37</f>
        <v>13.860480802682822</v>
      </c>
      <c r="H37" s="43">
        <f t="shared" si="0"/>
        <v>-1.5828552320677449</v>
      </c>
    </row>
    <row r="38" spans="1:8" ht="65" customHeight="1" x14ac:dyDescent="0.35">
      <c r="A38" s="87" t="s">
        <v>247</v>
      </c>
      <c r="B38" s="86" t="s">
        <v>557</v>
      </c>
      <c r="C38" s="95" t="s">
        <v>314</v>
      </c>
      <c r="D38" s="99">
        <v>560544</v>
      </c>
      <c r="E38" s="83">
        <f>LN('Full survey table'!BH38)</f>
        <v>13.236663019751374</v>
      </c>
      <c r="F38" s="55">
        <f>LN('Full survey table'!M38)</f>
        <v>8.4228825119449962</v>
      </c>
      <c r="G38" s="55">
        <f>N3 + M3 * F38</f>
        <v>15.486613571713567</v>
      </c>
      <c r="H38" s="45">
        <f t="shared" si="0"/>
        <v>-2.2499505519621934</v>
      </c>
    </row>
    <row r="39" spans="1:8" ht="26" x14ac:dyDescent="0.35">
      <c r="A39" s="87" t="s">
        <v>247</v>
      </c>
      <c r="B39" s="86" t="s">
        <v>252</v>
      </c>
      <c r="C39" s="94" t="s">
        <v>314</v>
      </c>
      <c r="D39" s="98">
        <v>5544678</v>
      </c>
      <c r="E39" s="82">
        <f>LN('Full survey table'!BH39)</f>
        <v>15.528349106746823</v>
      </c>
      <c r="F39" s="51">
        <f>LN('Full survey table'!M39)</f>
        <v>6.363028103540465</v>
      </c>
      <c r="G39" s="51">
        <f>N3 + M3 * F39</f>
        <v>13.297679256263475</v>
      </c>
      <c r="H39" s="43">
        <f t="shared" si="0"/>
        <v>2.2306698504833484</v>
      </c>
    </row>
    <row r="40" spans="1:8" x14ac:dyDescent="0.35">
      <c r="A40" s="88" t="s">
        <v>260</v>
      </c>
      <c r="B40" s="86" t="s">
        <v>261</v>
      </c>
      <c r="C40" s="95" t="s">
        <v>314</v>
      </c>
      <c r="D40" s="99">
        <v>21214275</v>
      </c>
      <c r="E40" s="83">
        <f>LN('Full survey table'!BH40)</f>
        <v>16.870184862101084</v>
      </c>
      <c r="F40" s="55">
        <f>LN('Full survey table'!M40)</f>
        <v>10.424659468356262</v>
      </c>
      <c r="G40" s="55">
        <f>N3 + M3 * F40</f>
        <v>17.613831036155521</v>
      </c>
      <c r="H40" s="45">
        <f t="shared" si="0"/>
        <v>-0.74364617405443667</v>
      </c>
    </row>
    <row r="41" spans="1:8" x14ac:dyDescent="0.35">
      <c r="A41" s="88" t="s">
        <v>260</v>
      </c>
      <c r="B41" s="86" t="s">
        <v>267</v>
      </c>
      <c r="C41" s="94" t="s">
        <v>314</v>
      </c>
      <c r="D41" s="98">
        <v>133034</v>
      </c>
      <c r="E41" s="82">
        <f>LN('Full survey table'!BH41)</f>
        <v>11.798360013631529</v>
      </c>
      <c r="F41" s="51">
        <f>LN('Full survey table'!M41)</f>
        <v>7.9320031523613848</v>
      </c>
      <c r="G41" s="51">
        <f>N3 + M3 * F41</f>
        <v>14.964973464260055</v>
      </c>
      <c r="H41" s="43">
        <f t="shared" si="0"/>
        <v>-3.1666134506285264</v>
      </c>
    </row>
    <row r="42" spans="1:8" x14ac:dyDescent="0.35">
      <c r="A42" s="88" t="s">
        <v>260</v>
      </c>
      <c r="B42" s="86" t="s">
        <v>275</v>
      </c>
      <c r="C42" s="95" t="s">
        <v>311</v>
      </c>
      <c r="D42" s="99">
        <v>1301015</v>
      </c>
      <c r="E42" s="83">
        <f>LN('Full survey table'!BH42)</f>
        <v>14.078655287020798</v>
      </c>
      <c r="F42" s="55">
        <f>LN('Full survey table'!M42)</f>
        <v>6.9612960459101672</v>
      </c>
      <c r="G42" s="55">
        <f>N3 + M3 * F42</f>
        <v>13.933437406715036</v>
      </c>
      <c r="H42" s="45">
        <f t="shared" si="0"/>
        <v>0.14521788030576133</v>
      </c>
    </row>
    <row r="43" spans="1:8" x14ac:dyDescent="0.35">
      <c r="A43" s="88" t="s">
        <v>260</v>
      </c>
      <c r="B43" s="86" t="s">
        <v>280</v>
      </c>
      <c r="C43" s="94" t="s">
        <v>314</v>
      </c>
      <c r="D43" s="98">
        <v>3748653</v>
      </c>
      <c r="E43" s="82">
        <f>LN('Full survey table'!BH43)</f>
        <v>15.136907133418822</v>
      </c>
      <c r="F43" s="51">
        <f>LN('Full survey table'!M43)</f>
        <v>6.7093043402582984</v>
      </c>
      <c r="G43" s="51">
        <f>N3 + M3 * F43</f>
        <v>13.665654747193283</v>
      </c>
      <c r="H43" s="43">
        <f t="shared" si="0"/>
        <v>1.4712523862255384</v>
      </c>
    </row>
    <row r="44" spans="1:8" ht="15" thickBot="1" x14ac:dyDescent="0.4">
      <c r="A44" s="90" t="s">
        <v>260</v>
      </c>
      <c r="B44" s="91" t="s">
        <v>287</v>
      </c>
      <c r="C44" s="96" t="s">
        <v>314</v>
      </c>
      <c r="D44" s="100">
        <v>1095706</v>
      </c>
      <c r="E44" s="84">
        <f>LN('Full survey table'!BH44)</f>
        <v>13.906909462329939</v>
      </c>
      <c r="F44" s="56">
        <f>LN('Full survey table'!M44)</f>
        <v>6.3716118472318568</v>
      </c>
      <c r="G44" s="56">
        <f>N3 + M3 * F44</f>
        <v>13.30680089663012</v>
      </c>
      <c r="H44" s="47">
        <f t="shared" si="0"/>
        <v>0.60010856569981819</v>
      </c>
    </row>
  </sheetData>
  <mergeCells count="2">
    <mergeCell ref="A1:B1"/>
    <mergeCell ref="D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41010-F117-426C-880C-C5BB2FC65530}">
  <dimension ref="A1:F44"/>
  <sheetViews>
    <sheetView topLeftCell="B1" zoomScale="115" zoomScaleNormal="115" workbookViewId="0">
      <selection activeCell="C6" sqref="C6"/>
    </sheetView>
  </sheetViews>
  <sheetFormatPr defaultRowHeight="14.5" x14ac:dyDescent="0.35"/>
  <cols>
    <col min="2" max="2" width="10.453125" customWidth="1"/>
    <col min="3" max="3" width="30.453125" bestFit="1" customWidth="1"/>
    <col min="4" max="4" width="26.6328125" customWidth="1"/>
    <col min="5" max="5" width="18.08984375" bestFit="1" customWidth="1"/>
    <col min="6" max="6" width="33.81640625" customWidth="1"/>
    <col min="7" max="7" width="26.453125" customWidth="1"/>
    <col min="12" max="12" width="26.26953125" customWidth="1"/>
  </cols>
  <sheetData>
    <row r="1" spans="1:6" x14ac:dyDescent="0.35">
      <c r="A1" s="109"/>
      <c r="B1" s="110"/>
      <c r="C1" s="63" t="s">
        <v>561</v>
      </c>
      <c r="D1" s="107" t="s">
        <v>585</v>
      </c>
      <c r="E1" s="108"/>
      <c r="F1" s="111"/>
    </row>
    <row r="2" spans="1:6" ht="26" x14ac:dyDescent="0.35">
      <c r="A2" s="28" t="s">
        <v>0</v>
      </c>
      <c r="B2" s="54" t="s">
        <v>547</v>
      </c>
      <c r="C2" s="64" t="s">
        <v>583</v>
      </c>
      <c r="D2" s="40" t="s">
        <v>587</v>
      </c>
      <c r="E2" s="28" t="s">
        <v>588</v>
      </c>
      <c r="F2" s="41" t="s">
        <v>589</v>
      </c>
    </row>
    <row r="3" spans="1:6" ht="25" x14ac:dyDescent="0.35">
      <c r="A3" s="2" t="s">
        <v>14</v>
      </c>
      <c r="B3" s="32" t="s">
        <v>15</v>
      </c>
      <c r="C3" s="36" t="s">
        <v>586</v>
      </c>
      <c r="D3" s="65">
        <v>7780</v>
      </c>
      <c r="E3" s="31">
        <v>9210</v>
      </c>
      <c r="F3" s="48" t="s">
        <v>590</v>
      </c>
    </row>
    <row r="4" spans="1:6" x14ac:dyDescent="0.35">
      <c r="A4" s="2" t="s">
        <v>14</v>
      </c>
      <c r="B4" s="32" t="s">
        <v>25</v>
      </c>
      <c r="C4" s="37" t="s">
        <v>586</v>
      </c>
      <c r="D4" s="49">
        <v>1670</v>
      </c>
      <c r="E4" s="30">
        <v>1790</v>
      </c>
      <c r="F4" s="45"/>
    </row>
    <row r="5" spans="1:6" x14ac:dyDescent="0.35">
      <c r="A5" s="4" t="s">
        <v>32</v>
      </c>
      <c r="B5" s="32" t="s">
        <v>33</v>
      </c>
      <c r="C5" s="36" t="s">
        <v>586</v>
      </c>
      <c r="D5" s="66">
        <v>7235</v>
      </c>
      <c r="E5" s="31">
        <v>7240</v>
      </c>
      <c r="F5" s="48"/>
    </row>
    <row r="6" spans="1:6" x14ac:dyDescent="0.35">
      <c r="A6" s="5" t="s">
        <v>39</v>
      </c>
      <c r="B6" s="32" t="s">
        <v>40</v>
      </c>
      <c r="C6" s="37" t="s">
        <v>598</v>
      </c>
      <c r="D6" s="49">
        <v>37130</v>
      </c>
      <c r="E6" s="30">
        <v>38310</v>
      </c>
      <c r="F6" s="45"/>
    </row>
    <row r="7" spans="1:6" x14ac:dyDescent="0.35">
      <c r="A7" s="5" t="s">
        <v>39</v>
      </c>
      <c r="B7" s="32" t="s">
        <v>47</v>
      </c>
      <c r="C7" s="36" t="s">
        <v>598</v>
      </c>
      <c r="D7" s="66">
        <v>11950</v>
      </c>
      <c r="E7" s="31">
        <v>12850</v>
      </c>
      <c r="F7" s="48"/>
    </row>
    <row r="8" spans="1:6" ht="26" x14ac:dyDescent="0.35">
      <c r="A8" s="5" t="s">
        <v>39</v>
      </c>
      <c r="B8" s="32" t="s">
        <v>54</v>
      </c>
      <c r="C8" s="37" t="s">
        <v>598</v>
      </c>
      <c r="D8" s="49">
        <v>2175</v>
      </c>
      <c r="E8" s="30">
        <v>2470</v>
      </c>
      <c r="F8" s="45"/>
    </row>
    <row r="9" spans="1:6" ht="25" x14ac:dyDescent="0.35">
      <c r="A9" s="5" t="s">
        <v>39</v>
      </c>
      <c r="B9" s="32" t="s">
        <v>60</v>
      </c>
      <c r="C9" s="36" t="s">
        <v>598</v>
      </c>
      <c r="D9" s="66">
        <v>5845</v>
      </c>
      <c r="E9" s="31">
        <v>6585</v>
      </c>
      <c r="F9" s="48" t="s">
        <v>591</v>
      </c>
    </row>
    <row r="10" spans="1:6" x14ac:dyDescent="0.35">
      <c r="A10" s="5" t="s">
        <v>39</v>
      </c>
      <c r="B10" s="32" t="s">
        <v>67</v>
      </c>
      <c r="C10" s="37" t="s">
        <v>598</v>
      </c>
      <c r="D10" s="49">
        <v>2500</v>
      </c>
      <c r="E10" s="30">
        <v>3165</v>
      </c>
      <c r="F10" s="45"/>
    </row>
    <row r="11" spans="1:6" ht="37.5" x14ac:dyDescent="0.35">
      <c r="A11" s="6" t="s">
        <v>74</v>
      </c>
      <c r="B11" s="32" t="s">
        <v>75</v>
      </c>
      <c r="C11" s="36" t="s">
        <v>599</v>
      </c>
      <c r="D11" s="66">
        <v>1090</v>
      </c>
      <c r="E11" s="31">
        <v>1000</v>
      </c>
      <c r="F11" s="48" t="s">
        <v>600</v>
      </c>
    </row>
    <row r="12" spans="1:6" ht="26" x14ac:dyDescent="0.35">
      <c r="A12" s="2" t="s">
        <v>83</v>
      </c>
      <c r="B12" s="32" t="s">
        <v>84</v>
      </c>
      <c r="C12" s="37" t="s">
        <v>586</v>
      </c>
      <c r="D12" s="49">
        <v>16780</v>
      </c>
      <c r="E12" s="30">
        <v>17200</v>
      </c>
      <c r="F12" s="45"/>
    </row>
    <row r="13" spans="1:6" ht="26" x14ac:dyDescent="0.35">
      <c r="A13" s="2" t="s">
        <v>83</v>
      </c>
      <c r="B13" s="32" t="s">
        <v>89</v>
      </c>
      <c r="C13" s="36" t="s">
        <v>586</v>
      </c>
      <c r="D13" s="66">
        <v>8575</v>
      </c>
      <c r="E13" s="31">
        <v>8810</v>
      </c>
      <c r="F13" s="48"/>
    </row>
    <row r="14" spans="1:6" ht="26" x14ac:dyDescent="0.35">
      <c r="A14" s="2" t="s">
        <v>83</v>
      </c>
      <c r="B14" s="32" t="s">
        <v>96</v>
      </c>
      <c r="C14" s="37" t="s">
        <v>586</v>
      </c>
      <c r="D14" s="49">
        <v>5935</v>
      </c>
      <c r="E14" s="30">
        <v>7755</v>
      </c>
      <c r="F14" s="45"/>
    </row>
    <row r="15" spans="1:6" ht="26" x14ac:dyDescent="0.35">
      <c r="A15" s="2" t="s">
        <v>83</v>
      </c>
      <c r="B15" s="32" t="s">
        <v>103</v>
      </c>
      <c r="C15" s="36" t="s">
        <v>586</v>
      </c>
      <c r="D15" s="66">
        <v>4095</v>
      </c>
      <c r="E15" s="31">
        <v>4135</v>
      </c>
      <c r="F15" s="48"/>
    </row>
    <row r="16" spans="1:6" ht="26" x14ac:dyDescent="0.35">
      <c r="A16" s="2" t="s">
        <v>83</v>
      </c>
      <c r="B16" s="32" t="s">
        <v>110</v>
      </c>
      <c r="C16" s="37" t="s">
        <v>586</v>
      </c>
      <c r="D16" s="49">
        <v>3135</v>
      </c>
      <c r="E16" s="30">
        <v>3535</v>
      </c>
      <c r="F16" s="45" t="s">
        <v>592</v>
      </c>
    </row>
    <row r="17" spans="1:6" ht="26" x14ac:dyDescent="0.35">
      <c r="A17" s="2" t="s">
        <v>83</v>
      </c>
      <c r="B17" s="32" t="s">
        <v>117</v>
      </c>
      <c r="C17" s="36" t="s">
        <v>586</v>
      </c>
      <c r="D17" s="66">
        <v>2110</v>
      </c>
      <c r="E17" s="31">
        <v>2360</v>
      </c>
      <c r="F17" s="48"/>
    </row>
    <row r="18" spans="1:6" ht="26" x14ac:dyDescent="0.35">
      <c r="A18" s="2" t="s">
        <v>83</v>
      </c>
      <c r="B18" s="32" t="s">
        <v>123</v>
      </c>
      <c r="C18" s="37" t="s">
        <v>586</v>
      </c>
      <c r="D18" s="49">
        <v>1640</v>
      </c>
      <c r="E18" s="30">
        <v>1680</v>
      </c>
      <c r="F18" s="45"/>
    </row>
    <row r="19" spans="1:6" ht="26" x14ac:dyDescent="0.35">
      <c r="A19" s="4" t="s">
        <v>131</v>
      </c>
      <c r="B19" s="32" t="s">
        <v>132</v>
      </c>
      <c r="C19" s="36" t="s">
        <v>586</v>
      </c>
      <c r="D19" s="66">
        <v>3425</v>
      </c>
      <c r="E19" s="31">
        <v>3500</v>
      </c>
      <c r="F19" s="48"/>
    </row>
    <row r="20" spans="1:6" ht="26" x14ac:dyDescent="0.35">
      <c r="A20" s="4" t="s">
        <v>131</v>
      </c>
      <c r="B20" s="32" t="s">
        <v>140</v>
      </c>
      <c r="C20" s="37" t="s">
        <v>586</v>
      </c>
      <c r="D20" s="49">
        <v>2420</v>
      </c>
      <c r="E20" s="30">
        <v>2565</v>
      </c>
      <c r="F20" s="45"/>
    </row>
    <row r="21" spans="1:6" x14ac:dyDescent="0.35">
      <c r="A21" s="4" t="s">
        <v>131</v>
      </c>
      <c r="B21" s="32" t="s">
        <v>146</v>
      </c>
      <c r="C21" s="36" t="s">
        <v>586</v>
      </c>
      <c r="D21" s="66">
        <v>735</v>
      </c>
      <c r="E21" s="31">
        <v>780</v>
      </c>
      <c r="F21" s="48"/>
    </row>
    <row r="22" spans="1:6" ht="25" x14ac:dyDescent="0.35">
      <c r="A22" s="5" t="s">
        <v>153</v>
      </c>
      <c r="B22" s="32" t="s">
        <v>154</v>
      </c>
      <c r="C22" s="37" t="s">
        <v>586</v>
      </c>
      <c r="D22" s="49">
        <v>1685</v>
      </c>
      <c r="E22" s="30">
        <v>1720</v>
      </c>
      <c r="F22" s="45" t="s">
        <v>593</v>
      </c>
    </row>
    <row r="23" spans="1:6" x14ac:dyDescent="0.35">
      <c r="A23" s="5" t="s">
        <v>153</v>
      </c>
      <c r="B23" s="32" t="s">
        <v>156</v>
      </c>
      <c r="C23" s="36" t="s">
        <v>586</v>
      </c>
      <c r="D23" s="66">
        <v>905</v>
      </c>
      <c r="E23" s="31">
        <v>875</v>
      </c>
      <c r="F23" s="48"/>
    </row>
    <row r="24" spans="1:6" x14ac:dyDescent="0.35">
      <c r="A24" s="5" t="s">
        <v>153</v>
      </c>
      <c r="B24" s="32" t="s">
        <v>163</v>
      </c>
      <c r="C24" s="37" t="s">
        <v>586</v>
      </c>
      <c r="D24" s="49">
        <v>420</v>
      </c>
      <c r="E24" s="30">
        <v>430</v>
      </c>
      <c r="F24" s="45"/>
    </row>
    <row r="25" spans="1:6" x14ac:dyDescent="0.35">
      <c r="A25" s="5" t="s">
        <v>153</v>
      </c>
      <c r="B25" s="32" t="s">
        <v>170</v>
      </c>
      <c r="C25" s="36" t="s">
        <v>586</v>
      </c>
      <c r="D25" s="66">
        <v>570</v>
      </c>
      <c r="E25" s="31">
        <v>645</v>
      </c>
      <c r="F25" s="48"/>
    </row>
    <row r="26" spans="1:6" x14ac:dyDescent="0.35">
      <c r="A26" s="5" t="s">
        <v>153</v>
      </c>
      <c r="B26" s="32" t="s">
        <v>178</v>
      </c>
      <c r="C26" s="37" t="s">
        <v>586</v>
      </c>
      <c r="D26" s="49">
        <v>880</v>
      </c>
      <c r="E26" s="30">
        <v>895</v>
      </c>
      <c r="F26" s="45"/>
    </row>
    <row r="27" spans="1:6" ht="26" x14ac:dyDescent="0.35">
      <c r="A27" s="6" t="s">
        <v>181</v>
      </c>
      <c r="B27" s="32" t="s">
        <v>182</v>
      </c>
      <c r="C27" s="36" t="s">
        <v>586</v>
      </c>
      <c r="D27" s="66">
        <v>4900</v>
      </c>
      <c r="E27" s="31">
        <v>4985</v>
      </c>
      <c r="F27" s="48"/>
    </row>
    <row r="28" spans="1:6" ht="26" x14ac:dyDescent="0.35">
      <c r="A28" s="6" t="s">
        <v>181</v>
      </c>
      <c r="B28" s="32" t="s">
        <v>188</v>
      </c>
      <c r="C28" s="37" t="s">
        <v>586</v>
      </c>
      <c r="D28" s="49">
        <v>2580</v>
      </c>
      <c r="E28" s="30">
        <v>2425</v>
      </c>
      <c r="F28" s="45"/>
    </row>
    <row r="29" spans="1:6" ht="26" x14ac:dyDescent="0.35">
      <c r="A29" s="6" t="s">
        <v>181</v>
      </c>
      <c r="B29" s="32" t="s">
        <v>193</v>
      </c>
      <c r="C29" s="36" t="s">
        <v>586</v>
      </c>
      <c r="D29" s="66">
        <v>2395</v>
      </c>
      <c r="E29" s="31">
        <v>2005</v>
      </c>
      <c r="F29" s="48"/>
    </row>
    <row r="30" spans="1:6" ht="26" x14ac:dyDescent="0.35">
      <c r="A30" s="6" t="s">
        <v>181</v>
      </c>
      <c r="B30" s="32" t="s">
        <v>201</v>
      </c>
      <c r="C30" s="37" t="s">
        <v>586</v>
      </c>
      <c r="D30" s="49">
        <v>1695</v>
      </c>
      <c r="E30" s="30">
        <v>1820</v>
      </c>
      <c r="F30" s="45"/>
    </row>
    <row r="31" spans="1:6" ht="26" x14ac:dyDescent="0.35">
      <c r="A31" s="6" t="s">
        <v>181</v>
      </c>
      <c r="B31" s="32" t="s">
        <v>207</v>
      </c>
      <c r="C31" s="36" t="s">
        <v>586</v>
      </c>
      <c r="D31" s="66">
        <v>1110</v>
      </c>
      <c r="E31" s="31">
        <v>1090</v>
      </c>
      <c r="F31" s="48" t="s">
        <v>594</v>
      </c>
    </row>
    <row r="32" spans="1:6" ht="50" x14ac:dyDescent="0.35">
      <c r="A32" s="6" t="s">
        <v>181</v>
      </c>
      <c r="B32" s="32" t="s">
        <v>213</v>
      </c>
      <c r="C32" s="37" t="s">
        <v>586</v>
      </c>
      <c r="D32" s="49">
        <v>525</v>
      </c>
      <c r="E32" s="30">
        <v>610</v>
      </c>
      <c r="F32" s="45" t="s">
        <v>595</v>
      </c>
    </row>
    <row r="33" spans="1:6" ht="26" x14ac:dyDescent="0.35">
      <c r="A33" s="6" t="s">
        <v>181</v>
      </c>
      <c r="B33" s="32" t="s">
        <v>219</v>
      </c>
      <c r="C33" s="36" t="s">
        <v>586</v>
      </c>
      <c r="D33" s="66">
        <v>945</v>
      </c>
      <c r="E33" s="31">
        <v>1110</v>
      </c>
      <c r="F33" s="48"/>
    </row>
    <row r="34" spans="1:6" ht="26" x14ac:dyDescent="0.35">
      <c r="A34" s="6" t="s">
        <v>181</v>
      </c>
      <c r="B34" s="32" t="s">
        <v>224</v>
      </c>
      <c r="C34" s="37" t="s">
        <v>586</v>
      </c>
      <c r="D34" s="49">
        <v>435</v>
      </c>
      <c r="E34" s="30">
        <v>605</v>
      </c>
      <c r="F34" s="45"/>
    </row>
    <row r="35" spans="1:6" ht="52" x14ac:dyDescent="0.35">
      <c r="A35" s="2" t="s">
        <v>230</v>
      </c>
      <c r="B35" s="32" t="s">
        <v>555</v>
      </c>
      <c r="C35" s="36" t="s">
        <v>586</v>
      </c>
      <c r="D35" s="66">
        <v>11430</v>
      </c>
      <c r="E35" s="31">
        <v>12150</v>
      </c>
      <c r="F35" s="48" t="s">
        <v>596</v>
      </c>
    </row>
    <row r="36" spans="1:6" ht="26" x14ac:dyDescent="0.35">
      <c r="A36" s="2" t="s">
        <v>230</v>
      </c>
      <c r="B36" s="32" t="s">
        <v>238</v>
      </c>
      <c r="C36" s="37" t="s">
        <v>586</v>
      </c>
      <c r="D36" s="49">
        <v>1530</v>
      </c>
      <c r="E36" s="30">
        <v>1600</v>
      </c>
      <c r="F36" s="45"/>
    </row>
    <row r="37" spans="1:6" ht="26" x14ac:dyDescent="0.35">
      <c r="A37" s="2" t="s">
        <v>230</v>
      </c>
      <c r="B37" s="32" t="s">
        <v>241</v>
      </c>
      <c r="C37" s="36" t="s">
        <v>586</v>
      </c>
      <c r="D37" s="66">
        <v>1005</v>
      </c>
      <c r="E37" s="31">
        <v>985</v>
      </c>
      <c r="F37" s="48"/>
    </row>
    <row r="38" spans="1:6" ht="52" x14ac:dyDescent="0.35">
      <c r="A38" s="4" t="s">
        <v>247</v>
      </c>
      <c r="B38" s="32" t="s">
        <v>557</v>
      </c>
      <c r="C38" s="37" t="s">
        <v>586</v>
      </c>
      <c r="D38" s="49">
        <v>3980</v>
      </c>
      <c r="E38" s="30">
        <v>4550</v>
      </c>
      <c r="F38" s="45" t="s">
        <v>597</v>
      </c>
    </row>
    <row r="39" spans="1:6" ht="26" x14ac:dyDescent="0.35">
      <c r="A39" s="4" t="s">
        <v>247</v>
      </c>
      <c r="B39" s="32" t="s">
        <v>252</v>
      </c>
      <c r="C39" s="36" t="s">
        <v>586</v>
      </c>
      <c r="D39" s="66">
        <v>490</v>
      </c>
      <c r="E39" s="31">
        <v>580</v>
      </c>
      <c r="F39" s="48"/>
    </row>
    <row r="40" spans="1:6" x14ac:dyDescent="0.35">
      <c r="A40" s="5" t="s">
        <v>260</v>
      </c>
      <c r="B40" s="32" t="s">
        <v>261</v>
      </c>
      <c r="C40" s="37" t="s">
        <v>586</v>
      </c>
      <c r="D40" s="49">
        <v>32110</v>
      </c>
      <c r="E40" s="30">
        <v>34380</v>
      </c>
      <c r="F40" s="45"/>
    </row>
    <row r="41" spans="1:6" x14ac:dyDescent="0.35">
      <c r="A41" s="5" t="s">
        <v>260</v>
      </c>
      <c r="B41" s="32" t="s">
        <v>267</v>
      </c>
      <c r="C41" s="36" t="s">
        <v>586</v>
      </c>
      <c r="D41" s="66">
        <v>2790</v>
      </c>
      <c r="E41" s="31">
        <v>2790</v>
      </c>
      <c r="F41" s="48"/>
    </row>
    <row r="42" spans="1:6" x14ac:dyDescent="0.35">
      <c r="A42" s="5" t="s">
        <v>260</v>
      </c>
      <c r="B42" s="32" t="s">
        <v>275</v>
      </c>
      <c r="C42" s="37" t="s">
        <v>586</v>
      </c>
      <c r="D42" s="49">
        <v>1030</v>
      </c>
      <c r="E42" s="30">
        <v>1060</v>
      </c>
      <c r="F42" s="45"/>
    </row>
    <row r="43" spans="1:6" x14ac:dyDescent="0.35">
      <c r="A43" s="5" t="s">
        <v>260</v>
      </c>
      <c r="B43" s="32" t="s">
        <v>280</v>
      </c>
      <c r="C43" s="36" t="s">
        <v>586</v>
      </c>
      <c r="D43" s="66">
        <v>785</v>
      </c>
      <c r="E43" s="31">
        <v>820</v>
      </c>
      <c r="F43" s="48"/>
    </row>
    <row r="44" spans="1:6" ht="15" thickBot="1" x14ac:dyDescent="0.4">
      <c r="A44" s="5" t="s">
        <v>260</v>
      </c>
      <c r="B44" s="32" t="s">
        <v>287</v>
      </c>
      <c r="C44" s="38" t="s">
        <v>586</v>
      </c>
      <c r="D44" s="67">
        <v>560</v>
      </c>
      <c r="E44" s="50">
        <v>585</v>
      </c>
      <c r="F44" s="47"/>
    </row>
  </sheetData>
  <mergeCells count="2">
    <mergeCell ref="A1:B1"/>
    <mergeCell ref="D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981C3-BCEE-4E9B-909E-B8A128540CDA}">
  <dimension ref="A1:F15"/>
  <sheetViews>
    <sheetView workbookViewId="0">
      <pane ySplit="4" topLeftCell="A5" activePane="bottomLeft" state="frozen"/>
      <selection pane="bottomLeft" activeCell="E6" sqref="E6"/>
    </sheetView>
  </sheetViews>
  <sheetFormatPr defaultRowHeight="14.5" x14ac:dyDescent="0.35"/>
  <cols>
    <col min="1" max="1" width="5" style="68" customWidth="1"/>
    <col min="2" max="2" width="60" style="68" customWidth="1"/>
    <col min="3" max="3" width="30" style="68" customWidth="1"/>
    <col min="4" max="4" width="22" style="68" customWidth="1"/>
    <col min="5" max="5" width="50" style="68" customWidth="1"/>
    <col min="6" max="6" width="38" style="68" customWidth="1"/>
    <col min="7" max="16384" width="8.7265625" style="68"/>
  </cols>
  <sheetData>
    <row r="1" spans="1:6" ht="26" customHeight="1" x14ac:dyDescent="0.35">
      <c r="A1" s="119" t="s">
        <v>657</v>
      </c>
      <c r="B1" s="118"/>
      <c r="C1" s="118"/>
      <c r="D1" s="118"/>
      <c r="E1" s="118"/>
      <c r="F1" s="118"/>
    </row>
    <row r="2" spans="1:6" ht="18" customHeight="1" x14ac:dyDescent="0.35">
      <c r="A2" s="117" t="s">
        <v>656</v>
      </c>
      <c r="B2" s="118"/>
      <c r="C2" s="118"/>
      <c r="D2" s="118"/>
      <c r="E2" s="118"/>
      <c r="F2" s="118"/>
    </row>
    <row r="4" spans="1:6" ht="32" customHeight="1" x14ac:dyDescent="0.35">
      <c r="A4" s="75" t="s">
        <v>655</v>
      </c>
      <c r="B4" s="75" t="s">
        <v>654</v>
      </c>
      <c r="C4" s="75" t="s">
        <v>653</v>
      </c>
      <c r="D4" s="75" t="s">
        <v>652</v>
      </c>
      <c r="E4" s="75" t="s">
        <v>651</v>
      </c>
      <c r="F4" s="75" t="s">
        <v>650</v>
      </c>
    </row>
    <row r="5" spans="1:6" ht="80" customHeight="1" x14ac:dyDescent="0.35">
      <c r="A5" s="71">
        <v>1</v>
      </c>
      <c r="B5" s="69" t="s">
        <v>649</v>
      </c>
      <c r="C5" s="69" t="s">
        <v>648</v>
      </c>
      <c r="D5" s="69" t="s">
        <v>608</v>
      </c>
      <c r="E5" s="70" t="s">
        <v>647</v>
      </c>
      <c r="F5" s="69" t="s">
        <v>646</v>
      </c>
    </row>
    <row r="6" spans="1:6" ht="80" customHeight="1" x14ac:dyDescent="0.35">
      <c r="A6" s="74">
        <v>2</v>
      </c>
      <c r="B6" s="72" t="s">
        <v>645</v>
      </c>
      <c r="C6" s="72" t="s">
        <v>644</v>
      </c>
      <c r="D6" s="72" t="s">
        <v>643</v>
      </c>
      <c r="E6" s="73" t="s">
        <v>642</v>
      </c>
      <c r="F6" s="72" t="s">
        <v>641</v>
      </c>
    </row>
    <row r="7" spans="1:6" ht="80" customHeight="1" x14ac:dyDescent="0.35">
      <c r="A7" s="71">
        <v>3</v>
      </c>
      <c r="B7" s="69" t="s">
        <v>640</v>
      </c>
      <c r="C7" s="69" t="s">
        <v>639</v>
      </c>
      <c r="D7" s="69" t="s">
        <v>638</v>
      </c>
      <c r="E7" s="70" t="s">
        <v>637</v>
      </c>
      <c r="F7" s="69" t="s">
        <v>636</v>
      </c>
    </row>
    <row r="8" spans="1:6" ht="80" customHeight="1" x14ac:dyDescent="0.35">
      <c r="A8" s="74">
        <v>4</v>
      </c>
      <c r="B8" s="72" t="s">
        <v>635</v>
      </c>
      <c r="C8" s="72" t="s">
        <v>604</v>
      </c>
      <c r="D8" s="72" t="s">
        <v>634</v>
      </c>
      <c r="E8" s="73" t="s">
        <v>633</v>
      </c>
      <c r="F8" s="72" t="s">
        <v>632</v>
      </c>
    </row>
    <row r="9" spans="1:6" ht="80" customHeight="1" x14ac:dyDescent="0.35">
      <c r="A9" s="71">
        <v>5</v>
      </c>
      <c r="B9" s="69" t="s">
        <v>631</v>
      </c>
      <c r="C9" s="69" t="s">
        <v>630</v>
      </c>
      <c r="D9" s="69" t="s">
        <v>629</v>
      </c>
      <c r="E9" s="70" t="s">
        <v>628</v>
      </c>
      <c r="F9" s="69" t="s">
        <v>627</v>
      </c>
    </row>
    <row r="10" spans="1:6" ht="80" customHeight="1" x14ac:dyDescent="0.35">
      <c r="A10" s="74">
        <v>6</v>
      </c>
      <c r="B10" s="72" t="s">
        <v>626</v>
      </c>
      <c r="C10" s="72" t="s">
        <v>617</v>
      </c>
      <c r="D10" s="72" t="s">
        <v>625</v>
      </c>
      <c r="E10" s="73" t="s">
        <v>624</v>
      </c>
      <c r="F10" s="72" t="s">
        <v>623</v>
      </c>
    </row>
    <row r="11" spans="1:6" ht="80" customHeight="1" x14ac:dyDescent="0.35">
      <c r="A11" s="71">
        <v>7</v>
      </c>
      <c r="B11" s="69" t="s">
        <v>622</v>
      </c>
      <c r="C11" s="69" t="s">
        <v>617</v>
      </c>
      <c r="D11" s="69" t="s">
        <v>621</v>
      </c>
      <c r="E11" s="70" t="s">
        <v>620</v>
      </c>
      <c r="F11" s="69" t="s">
        <v>619</v>
      </c>
    </row>
    <row r="12" spans="1:6" ht="80" customHeight="1" x14ac:dyDescent="0.35">
      <c r="A12" s="74">
        <v>8</v>
      </c>
      <c r="B12" s="72" t="s">
        <v>618</v>
      </c>
      <c r="C12" s="72" t="s">
        <v>617</v>
      </c>
      <c r="D12" s="72" t="s">
        <v>608</v>
      </c>
      <c r="E12" s="73" t="s">
        <v>616</v>
      </c>
      <c r="F12" s="72" t="s">
        <v>615</v>
      </c>
    </row>
    <row r="13" spans="1:6" ht="80" customHeight="1" x14ac:dyDescent="0.35">
      <c r="A13" s="71">
        <v>9</v>
      </c>
      <c r="B13" s="69" t="s">
        <v>614</v>
      </c>
      <c r="C13" s="69" t="s">
        <v>613</v>
      </c>
      <c r="D13" s="69" t="s">
        <v>608</v>
      </c>
      <c r="E13" s="70" t="s">
        <v>612</v>
      </c>
      <c r="F13" s="69" t="s">
        <v>611</v>
      </c>
    </row>
    <row r="14" spans="1:6" ht="80" customHeight="1" x14ac:dyDescent="0.35">
      <c r="A14" s="74">
        <v>10</v>
      </c>
      <c r="B14" s="72" t="s">
        <v>610</v>
      </c>
      <c r="C14" s="72" t="s">
        <v>609</v>
      </c>
      <c r="D14" s="72" t="s">
        <v>608</v>
      </c>
      <c r="E14" s="73" t="s">
        <v>607</v>
      </c>
      <c r="F14" s="72" t="s">
        <v>606</v>
      </c>
    </row>
    <row r="15" spans="1:6" ht="80" customHeight="1" x14ac:dyDescent="0.35">
      <c r="A15" s="71">
        <v>11</v>
      </c>
      <c r="B15" s="69" t="s">
        <v>605</v>
      </c>
      <c r="C15" s="69" t="s">
        <v>604</v>
      </c>
      <c r="D15" s="69" t="s">
        <v>603</v>
      </c>
      <c r="E15" s="70" t="s">
        <v>602</v>
      </c>
      <c r="F15" s="69" t="s">
        <v>601</v>
      </c>
    </row>
  </sheetData>
  <mergeCells count="2">
    <mergeCell ref="A2:F2"/>
    <mergeCell ref="A1:F1"/>
  </mergeCells>
  <hyperlinks>
    <hyperlink ref="E5" r:id="rId1" xr:uid="{D0BE8768-B785-46E0-BFF5-62F3F179C087}"/>
    <hyperlink ref="E6" r:id="rId2" xr:uid="{996C919F-9916-433B-B13D-FF522C29B8AB}"/>
    <hyperlink ref="E7" r:id="rId3" xr:uid="{AD443AE5-A9BE-4561-97A0-F774154296B8}"/>
    <hyperlink ref="E8" r:id="rId4" xr:uid="{2893D514-D8D1-4505-867B-554A91C43960}"/>
    <hyperlink ref="E9" r:id="rId5" xr:uid="{6BAB4BC6-C5D3-42C0-B513-C77BA436AAE7}"/>
    <hyperlink ref="E10" r:id="rId6" xr:uid="{5E67D195-1D2E-4CA0-A93C-CE47FD7FF777}"/>
    <hyperlink ref="E11" r:id="rId7" xr:uid="{D08F0300-20A8-4A41-B37A-A57016457C8C}"/>
    <hyperlink ref="E12" r:id="rId8" xr:uid="{D7D698E6-6291-4970-A5E9-8A382B0252CD}"/>
    <hyperlink ref="E13" r:id="rId9" xr:uid="{FD5D6875-5FAD-42CC-87C7-7A16445C9260}"/>
    <hyperlink ref="E14" r:id="rId10" xr:uid="{3396FCBA-2688-458D-9730-2E13BABC7D19}"/>
    <hyperlink ref="E15" r:id="rId11" xr:uid="{26BDC451-FB91-4436-A3D0-EF81DE76CCE7}"/>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6"/>
  <sheetViews>
    <sheetView topLeftCell="A37" workbookViewId="0">
      <pane xSplit="4" topLeftCell="H1" activePane="topRight" state="frozen"/>
      <selection pane="topRight" activeCell="N9" sqref="N9"/>
    </sheetView>
  </sheetViews>
  <sheetFormatPr defaultColWidth="8.6328125" defaultRowHeight="14.5" x14ac:dyDescent="0.35"/>
  <cols>
    <col min="1" max="1" width="14" customWidth="1"/>
    <col min="2" max="2" width="18" customWidth="1"/>
    <col min="3" max="3" width="14" customWidth="1"/>
    <col min="4" max="4" width="22.7265625" customWidth="1"/>
    <col min="5" max="5" width="56.08984375" bestFit="1" customWidth="1"/>
    <col min="6" max="6" width="36" customWidth="1"/>
    <col min="7" max="8" width="20" customWidth="1"/>
    <col min="9" max="9" width="28" customWidth="1"/>
    <col min="10" max="10" width="18.08984375" bestFit="1" customWidth="1"/>
    <col min="11" max="12" width="14" customWidth="1"/>
    <col min="13" max="13" width="40" customWidth="1"/>
    <col min="14" max="14" width="24.7265625" customWidth="1"/>
  </cols>
  <sheetData>
    <row r="1" spans="1:15" ht="31.5" customHeight="1" x14ac:dyDescent="0.35">
      <c r="A1" s="1" t="s">
        <v>0</v>
      </c>
      <c r="B1" s="1" t="s">
        <v>1</v>
      </c>
      <c r="C1" s="1" t="s">
        <v>2</v>
      </c>
      <c r="D1" s="1" t="s">
        <v>3</v>
      </c>
      <c r="E1" s="1" t="s">
        <v>4</v>
      </c>
      <c r="F1" s="1" t="s">
        <v>5</v>
      </c>
      <c r="G1" s="1" t="s">
        <v>6</v>
      </c>
      <c r="H1" s="1" t="s">
        <v>7</v>
      </c>
      <c r="I1" s="1" t="s">
        <v>8</v>
      </c>
      <c r="J1" s="13" t="s">
        <v>9</v>
      </c>
      <c r="K1" s="1" t="s">
        <v>10</v>
      </c>
      <c r="L1" s="1" t="s">
        <v>11</v>
      </c>
      <c r="M1" s="1" t="s">
        <v>12</v>
      </c>
      <c r="N1" s="1" t="s">
        <v>13</v>
      </c>
      <c r="O1" t="s">
        <v>333</v>
      </c>
    </row>
    <row r="2" spans="1:15" x14ac:dyDescent="0.35">
      <c r="A2" s="2" t="s">
        <v>14</v>
      </c>
      <c r="B2" s="3" t="s">
        <v>15</v>
      </c>
      <c r="C2" s="3" t="s">
        <v>16</v>
      </c>
      <c r="D2" s="3" t="s">
        <v>17</v>
      </c>
      <c r="E2" s="3" t="s">
        <v>18</v>
      </c>
      <c r="F2" s="3" t="s">
        <v>19</v>
      </c>
      <c r="G2" s="3" t="s">
        <v>20</v>
      </c>
      <c r="H2" s="3" t="s">
        <v>21</v>
      </c>
      <c r="I2" s="3" t="s">
        <v>22</v>
      </c>
      <c r="J2" s="3" t="s">
        <v>23</v>
      </c>
      <c r="K2" s="3" t="s">
        <v>322</v>
      </c>
      <c r="L2" s="20">
        <v>46150</v>
      </c>
      <c r="M2" s="3"/>
      <c r="N2" s="3" t="s">
        <v>339</v>
      </c>
    </row>
    <row r="3" spans="1:15" ht="37.5" x14ac:dyDescent="0.35">
      <c r="A3" s="2" t="s">
        <v>14</v>
      </c>
      <c r="B3" s="3" t="s">
        <v>25</v>
      </c>
      <c r="C3" s="3" t="s">
        <v>26</v>
      </c>
      <c r="D3" s="3" t="s">
        <v>27</v>
      </c>
      <c r="E3" s="3" t="s">
        <v>28</v>
      </c>
      <c r="F3" s="3" t="s">
        <v>29</v>
      </c>
      <c r="G3" s="3" t="s">
        <v>30</v>
      </c>
      <c r="H3" s="3"/>
      <c r="I3" s="3" t="s">
        <v>31</v>
      </c>
      <c r="J3" s="3" t="s">
        <v>23</v>
      </c>
      <c r="K3" s="3" t="s">
        <v>341</v>
      </c>
      <c r="L3" s="3" t="s">
        <v>495</v>
      </c>
      <c r="M3" s="3"/>
      <c r="N3" s="3"/>
    </row>
    <row r="4" spans="1:15" ht="75" x14ac:dyDescent="0.35">
      <c r="A4" s="4" t="s">
        <v>32</v>
      </c>
      <c r="B4" s="3" t="s">
        <v>33</v>
      </c>
      <c r="C4" s="3" t="s">
        <v>34</v>
      </c>
      <c r="D4" s="3" t="s">
        <v>492</v>
      </c>
      <c r="E4" s="3" t="s">
        <v>28</v>
      </c>
      <c r="F4" s="3" t="s">
        <v>36</v>
      </c>
      <c r="G4" s="3" t="s">
        <v>37</v>
      </c>
      <c r="H4" s="3"/>
      <c r="I4" s="3" t="s">
        <v>38</v>
      </c>
      <c r="J4" s="3" t="s">
        <v>23</v>
      </c>
      <c r="K4" s="3" t="s">
        <v>493</v>
      </c>
      <c r="L4" s="3" t="s">
        <v>414</v>
      </c>
      <c r="M4" s="3"/>
      <c r="N4" s="3" t="s">
        <v>494</v>
      </c>
    </row>
    <row r="5" spans="1:15" ht="25" customHeight="1" x14ac:dyDescent="0.35">
      <c r="A5" s="5" t="s">
        <v>39</v>
      </c>
      <c r="B5" s="3" t="s">
        <v>40</v>
      </c>
      <c r="C5" s="3" t="s">
        <v>41</v>
      </c>
      <c r="D5" s="3" t="s">
        <v>42</v>
      </c>
      <c r="E5" s="3" t="s">
        <v>28</v>
      </c>
      <c r="F5" s="7" t="s">
        <v>43</v>
      </c>
      <c r="G5" s="3" t="s">
        <v>44</v>
      </c>
      <c r="H5" s="3"/>
      <c r="I5" s="3" t="s">
        <v>45</v>
      </c>
      <c r="J5" s="8" t="s">
        <v>46</v>
      </c>
      <c r="K5" s="3" t="s">
        <v>322</v>
      </c>
      <c r="L5" s="3" t="s">
        <v>537</v>
      </c>
      <c r="M5" s="3"/>
      <c r="N5" s="3" t="s">
        <v>538</v>
      </c>
    </row>
    <row r="6" spans="1:15" ht="25" x14ac:dyDescent="0.35">
      <c r="A6" s="5" t="s">
        <v>39</v>
      </c>
      <c r="B6" s="3" t="s">
        <v>47</v>
      </c>
      <c r="C6" s="3" t="s">
        <v>48</v>
      </c>
      <c r="D6" s="3" t="s">
        <v>49</v>
      </c>
      <c r="E6" s="3" t="s">
        <v>50</v>
      </c>
      <c r="F6" s="3" t="s">
        <v>497</v>
      </c>
      <c r="G6" s="3" t="s">
        <v>51</v>
      </c>
      <c r="H6" s="3"/>
      <c r="I6" s="3" t="s">
        <v>52</v>
      </c>
      <c r="J6" s="3" t="s">
        <v>53</v>
      </c>
      <c r="K6" s="3" t="s">
        <v>341</v>
      </c>
      <c r="L6" s="3" t="s">
        <v>496</v>
      </c>
      <c r="M6" s="3"/>
    </row>
    <row r="7" spans="1:15" ht="25" x14ac:dyDescent="0.35">
      <c r="A7" s="5" t="s">
        <v>39</v>
      </c>
      <c r="B7" s="3" t="s">
        <v>54</v>
      </c>
      <c r="C7" s="3" t="s">
        <v>55</v>
      </c>
      <c r="D7" s="3" t="s">
        <v>56</v>
      </c>
      <c r="E7" s="3" t="s">
        <v>28</v>
      </c>
      <c r="F7" s="3" t="s">
        <v>57</v>
      </c>
      <c r="G7" s="3" t="s">
        <v>58</v>
      </c>
      <c r="H7" s="3"/>
      <c r="I7" s="3" t="s">
        <v>59</v>
      </c>
      <c r="J7" s="3" t="s">
        <v>23</v>
      </c>
      <c r="K7" s="3" t="s">
        <v>341</v>
      </c>
      <c r="L7" s="3" t="s">
        <v>496</v>
      </c>
      <c r="M7" s="3"/>
      <c r="N7" s="3"/>
    </row>
    <row r="8" spans="1:15" ht="37.5" x14ac:dyDescent="0.35">
      <c r="A8" s="5" t="s">
        <v>39</v>
      </c>
      <c r="B8" s="3" t="s">
        <v>60</v>
      </c>
      <c r="C8" s="3" t="s">
        <v>61</v>
      </c>
      <c r="D8" s="3" t="s">
        <v>62</v>
      </c>
      <c r="E8" s="3" t="s">
        <v>28</v>
      </c>
      <c r="F8" s="7" t="s">
        <v>63</v>
      </c>
      <c r="G8" s="3" t="s">
        <v>64</v>
      </c>
      <c r="H8" s="3"/>
      <c r="I8" s="3" t="s">
        <v>65</v>
      </c>
      <c r="J8" s="8" t="s">
        <v>66</v>
      </c>
      <c r="K8" s="3" t="s">
        <v>322</v>
      </c>
      <c r="L8" s="3" t="s">
        <v>392</v>
      </c>
      <c r="M8" s="3"/>
      <c r="N8" s="3" t="s">
        <v>393</v>
      </c>
    </row>
    <row r="9" spans="1:15" ht="25" x14ac:dyDescent="0.35">
      <c r="A9" s="5" t="s">
        <v>39</v>
      </c>
      <c r="B9" s="3" t="s">
        <v>67</v>
      </c>
      <c r="C9" s="3" t="s">
        <v>68</v>
      </c>
      <c r="D9" s="3" t="s">
        <v>69</v>
      </c>
      <c r="E9" s="3" t="s">
        <v>70</v>
      </c>
      <c r="F9" s="3" t="s">
        <v>71</v>
      </c>
      <c r="G9" s="3" t="s">
        <v>72</v>
      </c>
      <c r="H9" s="3"/>
      <c r="I9" s="3" t="s">
        <v>73</v>
      </c>
      <c r="J9" s="8" t="s">
        <v>23</v>
      </c>
      <c r="K9" s="3" t="s">
        <v>341</v>
      </c>
      <c r="L9" s="3" t="s">
        <v>496</v>
      </c>
      <c r="M9" s="3"/>
      <c r="N9" s="3"/>
    </row>
    <row r="10" spans="1:15" ht="25" customHeight="1" x14ac:dyDescent="0.35">
      <c r="A10" s="6" t="s">
        <v>74</v>
      </c>
      <c r="B10" s="3" t="s">
        <v>75</v>
      </c>
      <c r="C10" s="3" t="s">
        <v>76</v>
      </c>
      <c r="D10" s="8" t="s">
        <v>77</v>
      </c>
      <c r="E10" s="3" t="s">
        <v>28</v>
      </c>
      <c r="F10" s="3" t="s">
        <v>78</v>
      </c>
      <c r="G10" s="3" t="s">
        <v>79</v>
      </c>
      <c r="H10" s="3" t="s">
        <v>80</v>
      </c>
      <c r="I10" s="3" t="s">
        <v>81</v>
      </c>
      <c r="J10" s="8" t="s">
        <v>82</v>
      </c>
      <c r="K10" s="3" t="s">
        <v>322</v>
      </c>
      <c r="L10" s="20">
        <v>46153</v>
      </c>
      <c r="M10" s="3"/>
      <c r="N10" s="3" t="s">
        <v>323</v>
      </c>
    </row>
    <row r="11" spans="1:15" x14ac:dyDescent="0.35">
      <c r="A11" s="2" t="s">
        <v>83</v>
      </c>
      <c r="B11" s="3" t="s">
        <v>84</v>
      </c>
      <c r="C11" s="3" t="s">
        <v>85</v>
      </c>
      <c r="D11" s="3" t="s">
        <v>86</v>
      </c>
      <c r="E11" s="3" t="s">
        <v>28</v>
      </c>
      <c r="F11" s="3"/>
      <c r="G11" s="3" t="s">
        <v>87</v>
      </c>
      <c r="H11" s="3"/>
      <c r="I11" s="3" t="s">
        <v>88</v>
      </c>
      <c r="J11" s="8" t="s">
        <v>23</v>
      </c>
      <c r="K11" s="3" t="s">
        <v>322</v>
      </c>
      <c r="L11" s="20">
        <v>46153</v>
      </c>
      <c r="M11" s="3"/>
      <c r="N11" s="3" t="s">
        <v>332</v>
      </c>
    </row>
    <row r="12" spans="1:15" ht="25" x14ac:dyDescent="0.35">
      <c r="A12" s="2" t="s">
        <v>83</v>
      </c>
      <c r="B12" s="3" t="s">
        <v>89</v>
      </c>
      <c r="C12" s="3" t="s">
        <v>90</v>
      </c>
      <c r="D12" s="3" t="s">
        <v>498</v>
      </c>
      <c r="E12" s="3" t="s">
        <v>499</v>
      </c>
      <c r="F12" s="3" t="s">
        <v>93</v>
      </c>
      <c r="G12" s="3" t="s">
        <v>94</v>
      </c>
      <c r="H12" s="3"/>
      <c r="I12" s="3" t="s">
        <v>95</v>
      </c>
      <c r="J12" s="8" t="s">
        <v>23</v>
      </c>
      <c r="K12" s="3" t="s">
        <v>500</v>
      </c>
      <c r="L12" s="3" t="s">
        <v>496</v>
      </c>
      <c r="M12" s="3"/>
      <c r="N12" s="3"/>
    </row>
    <row r="13" spans="1:15" ht="37.5" customHeight="1" x14ac:dyDescent="0.35">
      <c r="A13" s="2" t="s">
        <v>83</v>
      </c>
      <c r="B13" s="3" t="s">
        <v>96</v>
      </c>
      <c r="C13" s="3" t="s">
        <v>97</v>
      </c>
      <c r="D13" s="3" t="s">
        <v>98</v>
      </c>
      <c r="E13" s="8" t="s">
        <v>28</v>
      </c>
      <c r="F13" s="7" t="s">
        <v>99</v>
      </c>
      <c r="G13" s="7" t="s">
        <v>100</v>
      </c>
      <c r="H13" s="3"/>
      <c r="I13" s="8" t="s">
        <v>101</v>
      </c>
      <c r="J13" s="8" t="s">
        <v>102</v>
      </c>
      <c r="K13" s="3" t="s">
        <v>341</v>
      </c>
      <c r="L13" s="3" t="s">
        <v>496</v>
      </c>
      <c r="M13" s="3"/>
      <c r="N13" s="3"/>
    </row>
    <row r="14" spans="1:15" ht="50" x14ac:dyDescent="0.35">
      <c r="A14" s="2" t="s">
        <v>83</v>
      </c>
      <c r="B14" s="3" t="s">
        <v>103</v>
      </c>
      <c r="C14" s="3" t="s">
        <v>104</v>
      </c>
      <c r="D14" s="3" t="s">
        <v>105</v>
      </c>
      <c r="E14" s="3" t="s">
        <v>106</v>
      </c>
      <c r="F14" s="3" t="s">
        <v>107</v>
      </c>
      <c r="G14" s="3" t="s">
        <v>108</v>
      </c>
      <c r="H14" s="3"/>
      <c r="I14" s="3" t="s">
        <v>109</v>
      </c>
      <c r="J14" s="8" t="s">
        <v>23</v>
      </c>
      <c r="K14" s="3" t="s">
        <v>477</v>
      </c>
      <c r="L14" s="3" t="s">
        <v>476</v>
      </c>
      <c r="M14" s="3" t="s">
        <v>478</v>
      </c>
      <c r="N14" s="3"/>
    </row>
    <row r="15" spans="1:15" ht="25" x14ac:dyDescent="0.35">
      <c r="A15" s="2" t="s">
        <v>83</v>
      </c>
      <c r="B15" s="3" t="s">
        <v>110</v>
      </c>
      <c r="C15" s="3" t="s">
        <v>111</v>
      </c>
      <c r="D15" s="3" t="s">
        <v>112</v>
      </c>
      <c r="E15" s="3" t="s">
        <v>28</v>
      </c>
      <c r="F15" s="3" t="s">
        <v>113</v>
      </c>
      <c r="G15" s="9" t="s">
        <v>114</v>
      </c>
      <c r="H15" s="3"/>
      <c r="I15" s="3" t="s">
        <v>115</v>
      </c>
      <c r="J15" s="8" t="s">
        <v>116</v>
      </c>
      <c r="K15" s="3" t="s">
        <v>322</v>
      </c>
      <c r="L15" s="3" t="s">
        <v>309</v>
      </c>
      <c r="M15" s="3"/>
      <c r="N15" s="3" t="s">
        <v>351</v>
      </c>
    </row>
    <row r="16" spans="1:15" ht="25" customHeight="1" x14ac:dyDescent="0.35">
      <c r="A16" s="2" t="s">
        <v>83</v>
      </c>
      <c r="B16" s="3" t="s">
        <v>117</v>
      </c>
      <c r="C16" s="3" t="s">
        <v>55</v>
      </c>
      <c r="D16" s="3" t="s">
        <v>118</v>
      </c>
      <c r="E16" s="3" t="s">
        <v>119</v>
      </c>
      <c r="F16" s="3" t="s">
        <v>501</v>
      </c>
      <c r="G16" s="8" t="s">
        <v>120</v>
      </c>
      <c r="H16" s="3"/>
      <c r="I16" s="3" t="s">
        <v>121</v>
      </c>
      <c r="J16" s="8" t="s">
        <v>122</v>
      </c>
      <c r="K16" s="3" t="s">
        <v>341</v>
      </c>
      <c r="L16" s="3" t="s">
        <v>502</v>
      </c>
      <c r="M16" s="3"/>
      <c r="N16" s="3"/>
    </row>
    <row r="17" spans="1:14" ht="50" x14ac:dyDescent="0.35">
      <c r="A17" s="2" t="s">
        <v>83</v>
      </c>
      <c r="B17" s="3" t="s">
        <v>123</v>
      </c>
      <c r="C17" s="3" t="s">
        <v>124</v>
      </c>
      <c r="D17" s="3" t="s">
        <v>125</v>
      </c>
      <c r="E17" s="3" t="s">
        <v>126</v>
      </c>
      <c r="F17" s="10" t="s">
        <v>127</v>
      </c>
      <c r="G17" s="3" t="s">
        <v>128</v>
      </c>
      <c r="H17" s="3"/>
      <c r="I17" s="3" t="s">
        <v>129</v>
      </c>
      <c r="J17" s="8" t="s">
        <v>130</v>
      </c>
      <c r="K17" s="3" t="s">
        <v>352</v>
      </c>
      <c r="L17" s="3" t="s">
        <v>353</v>
      </c>
      <c r="M17" s="3"/>
      <c r="N17" s="3"/>
    </row>
    <row r="18" spans="1:14" ht="112.5" customHeight="1" x14ac:dyDescent="0.35">
      <c r="A18" s="4" t="s">
        <v>131</v>
      </c>
      <c r="B18" s="3" t="s">
        <v>132</v>
      </c>
      <c r="C18" s="3" t="s">
        <v>133</v>
      </c>
      <c r="D18" s="8" t="s">
        <v>134</v>
      </c>
      <c r="E18" s="8" t="s">
        <v>135</v>
      </c>
      <c r="F18" s="3" t="s">
        <v>136</v>
      </c>
      <c r="G18" s="3" t="s">
        <v>137</v>
      </c>
      <c r="H18" s="3"/>
      <c r="I18" s="8" t="s">
        <v>138</v>
      </c>
      <c r="J18" s="8" t="s">
        <v>139</v>
      </c>
      <c r="K18" s="3" t="s">
        <v>24</v>
      </c>
      <c r="L18" s="3"/>
      <c r="M18" s="3"/>
      <c r="N18" s="3"/>
    </row>
    <row r="19" spans="1:14" ht="25" customHeight="1" x14ac:dyDescent="0.35">
      <c r="A19" s="4" t="s">
        <v>131</v>
      </c>
      <c r="B19" s="3" t="s">
        <v>140</v>
      </c>
      <c r="C19" s="3" t="s">
        <v>141</v>
      </c>
      <c r="D19" s="3" t="s">
        <v>142</v>
      </c>
      <c r="E19" s="3" t="s">
        <v>28</v>
      </c>
      <c r="F19" s="3"/>
      <c r="G19" s="8" t="s">
        <v>143</v>
      </c>
      <c r="H19" s="3"/>
      <c r="I19" s="7" t="s">
        <v>144</v>
      </c>
      <c r="J19" s="8" t="s">
        <v>145</v>
      </c>
      <c r="K19" s="3" t="s">
        <v>24</v>
      </c>
      <c r="L19" s="3"/>
      <c r="M19" s="3"/>
      <c r="N19" s="3"/>
    </row>
    <row r="20" spans="1:14" ht="75" customHeight="1" x14ac:dyDescent="0.35">
      <c r="A20" s="4" t="s">
        <v>131</v>
      </c>
      <c r="B20" s="3" t="s">
        <v>146</v>
      </c>
      <c r="C20" s="3" t="s">
        <v>147</v>
      </c>
      <c r="D20" s="3" t="s">
        <v>148</v>
      </c>
      <c r="E20" s="3" t="s">
        <v>92</v>
      </c>
      <c r="F20" s="3" t="s">
        <v>149</v>
      </c>
      <c r="G20" s="8" t="s">
        <v>150</v>
      </c>
      <c r="H20" s="3"/>
      <c r="I20" s="3" t="s">
        <v>151</v>
      </c>
      <c r="J20" s="8" t="s">
        <v>152</v>
      </c>
      <c r="K20" s="3" t="s">
        <v>24</v>
      </c>
      <c r="L20" s="3"/>
      <c r="M20" s="3"/>
      <c r="N20" s="3"/>
    </row>
    <row r="21" spans="1:14" ht="62.5" x14ac:dyDescent="0.35">
      <c r="A21" s="5" t="s">
        <v>153</v>
      </c>
      <c r="B21" s="3" t="s">
        <v>154</v>
      </c>
      <c r="C21" s="3" t="s">
        <v>26</v>
      </c>
      <c r="D21" s="3" t="s">
        <v>354</v>
      </c>
      <c r="E21" s="3" t="s">
        <v>28</v>
      </c>
      <c r="F21" s="3"/>
      <c r="G21" s="3" t="s">
        <v>355</v>
      </c>
      <c r="H21" s="3"/>
      <c r="I21" s="3" t="s">
        <v>155</v>
      </c>
      <c r="J21" s="8"/>
      <c r="K21" s="3" t="s">
        <v>322</v>
      </c>
      <c r="L21" s="20">
        <v>46154</v>
      </c>
      <c r="M21" s="3"/>
      <c r="N21" s="3" t="s">
        <v>377</v>
      </c>
    </row>
    <row r="22" spans="1:14" ht="25" x14ac:dyDescent="0.35">
      <c r="A22" s="5" t="s">
        <v>153</v>
      </c>
      <c r="B22" s="3" t="s">
        <v>156</v>
      </c>
      <c r="C22" s="3" t="s">
        <v>157</v>
      </c>
      <c r="D22" s="3" t="s">
        <v>158</v>
      </c>
      <c r="E22" s="3" t="s">
        <v>28</v>
      </c>
      <c r="F22" s="7" t="s">
        <v>159</v>
      </c>
      <c r="G22" s="8" t="s">
        <v>160</v>
      </c>
      <c r="H22" s="3" t="s">
        <v>161</v>
      </c>
      <c r="I22" s="3" t="s">
        <v>162</v>
      </c>
      <c r="J22" s="8" t="s">
        <v>23</v>
      </c>
      <c r="K22" s="3" t="s">
        <v>341</v>
      </c>
      <c r="L22" s="3" t="s">
        <v>503</v>
      </c>
      <c r="M22" s="3"/>
      <c r="N22" s="3"/>
    </row>
    <row r="23" spans="1:14" ht="25" x14ac:dyDescent="0.35">
      <c r="A23" s="5" t="s">
        <v>153</v>
      </c>
      <c r="B23" s="3" t="s">
        <v>163</v>
      </c>
      <c r="C23" s="3" t="s">
        <v>164</v>
      </c>
      <c r="D23" s="3" t="s">
        <v>165</v>
      </c>
      <c r="E23" s="3" t="s">
        <v>166</v>
      </c>
      <c r="F23" s="3" t="s">
        <v>167</v>
      </c>
      <c r="G23" s="3" t="s">
        <v>168</v>
      </c>
      <c r="H23" s="3"/>
      <c r="I23" s="3" t="s">
        <v>169</v>
      </c>
      <c r="J23" s="3"/>
      <c r="K23" s="3" t="s">
        <v>352</v>
      </c>
      <c r="L23" s="3" t="s">
        <v>454</v>
      </c>
      <c r="M23" s="3"/>
      <c r="N23" s="3"/>
    </row>
    <row r="24" spans="1:14" ht="43.5" customHeight="1" x14ac:dyDescent="0.35">
      <c r="A24" s="5" t="s">
        <v>153</v>
      </c>
      <c r="B24" s="3" t="s">
        <v>170</v>
      </c>
      <c r="C24" s="3" t="s">
        <v>164</v>
      </c>
      <c r="D24" s="3" t="s">
        <v>172</v>
      </c>
      <c r="E24" s="3" t="s">
        <v>173</v>
      </c>
      <c r="F24" s="3" t="s">
        <v>174</v>
      </c>
      <c r="G24" s="3" t="s">
        <v>175</v>
      </c>
      <c r="H24" s="3"/>
      <c r="I24" s="10" t="s">
        <v>176</v>
      </c>
      <c r="J24" s="8" t="s">
        <v>177</v>
      </c>
      <c r="K24" s="3" t="s">
        <v>352</v>
      </c>
      <c r="L24" s="3" t="s">
        <v>454</v>
      </c>
      <c r="M24" s="3"/>
      <c r="N24" s="3"/>
    </row>
    <row r="25" spans="1:14" ht="78.5" customHeight="1" x14ac:dyDescent="0.35">
      <c r="A25" s="5" t="s">
        <v>153</v>
      </c>
      <c r="B25" s="3" t="s">
        <v>178</v>
      </c>
      <c r="C25" s="3" t="s">
        <v>179</v>
      </c>
      <c r="D25" s="3" t="s">
        <v>465</v>
      </c>
      <c r="E25" s="3" t="s">
        <v>466</v>
      </c>
      <c r="F25" s="3" t="s">
        <v>455</v>
      </c>
      <c r="G25" s="3" t="s">
        <v>467</v>
      </c>
      <c r="H25" s="23" t="s">
        <v>468</v>
      </c>
      <c r="I25" s="3" t="s">
        <v>180</v>
      </c>
      <c r="J25" s="8" t="s">
        <v>23</v>
      </c>
      <c r="K25" s="3" t="s">
        <v>322</v>
      </c>
      <c r="L25" s="20">
        <v>46156</v>
      </c>
      <c r="M25" s="3"/>
      <c r="N25" s="3" t="s">
        <v>470</v>
      </c>
    </row>
    <row r="26" spans="1:14" ht="25" x14ac:dyDescent="0.35">
      <c r="A26" s="6" t="s">
        <v>181</v>
      </c>
      <c r="B26" s="3" t="s">
        <v>182</v>
      </c>
      <c r="C26" s="3" t="s">
        <v>183</v>
      </c>
      <c r="D26" s="3" t="s">
        <v>184</v>
      </c>
      <c r="E26" s="3" t="s">
        <v>28</v>
      </c>
      <c r="F26" s="3" t="s">
        <v>185</v>
      </c>
      <c r="G26" s="3" t="s">
        <v>186</v>
      </c>
      <c r="H26" s="3"/>
      <c r="I26" s="3" t="s">
        <v>187</v>
      </c>
      <c r="J26" s="8" t="s">
        <v>23</v>
      </c>
      <c r="K26" s="3" t="s">
        <v>322</v>
      </c>
      <c r="L26" s="3"/>
      <c r="M26" s="3"/>
      <c r="N26" s="3" t="s">
        <v>394</v>
      </c>
    </row>
    <row r="27" spans="1:14" ht="25" x14ac:dyDescent="0.35">
      <c r="A27" s="6" t="s">
        <v>181</v>
      </c>
      <c r="B27" s="3" t="s">
        <v>188</v>
      </c>
      <c r="C27" s="3" t="s">
        <v>189</v>
      </c>
      <c r="D27" s="3" t="s">
        <v>190</v>
      </c>
      <c r="E27" s="3" t="s">
        <v>70</v>
      </c>
      <c r="F27" s="3"/>
      <c r="G27" s="3" t="s">
        <v>191</v>
      </c>
      <c r="H27" s="3"/>
      <c r="I27" s="3" t="s">
        <v>192</v>
      </c>
      <c r="J27" s="8" t="s">
        <v>23</v>
      </c>
      <c r="K27" s="3" t="s">
        <v>341</v>
      </c>
      <c r="L27" s="3" t="s">
        <v>396</v>
      </c>
      <c r="M27" s="3"/>
      <c r="N27" s="3"/>
    </row>
    <row r="28" spans="1:14" ht="37.5" customHeight="1" x14ac:dyDescent="0.35">
      <c r="A28" s="6" t="s">
        <v>181</v>
      </c>
      <c r="B28" s="3" t="s">
        <v>193</v>
      </c>
      <c r="C28" s="3" t="s">
        <v>194</v>
      </c>
      <c r="D28" s="3" t="s">
        <v>195</v>
      </c>
      <c r="E28" s="3" t="s">
        <v>28</v>
      </c>
      <c r="F28" s="3" t="s">
        <v>196</v>
      </c>
      <c r="G28" s="3" t="s">
        <v>197</v>
      </c>
      <c r="H28" s="3" t="s">
        <v>198</v>
      </c>
      <c r="I28" s="3" t="s">
        <v>199</v>
      </c>
      <c r="J28" s="8" t="s">
        <v>200</v>
      </c>
      <c r="K28" s="3" t="s">
        <v>504</v>
      </c>
      <c r="L28" s="3" t="s">
        <v>502</v>
      </c>
      <c r="M28" s="3"/>
      <c r="N28" s="3"/>
    </row>
    <row r="29" spans="1:14" x14ac:dyDescent="0.35">
      <c r="A29" s="6" t="s">
        <v>181</v>
      </c>
      <c r="B29" s="3" t="s">
        <v>201</v>
      </c>
      <c r="C29" s="3" t="s">
        <v>26</v>
      </c>
      <c r="D29" s="3" t="s">
        <v>202</v>
      </c>
      <c r="E29" s="3" t="s">
        <v>203</v>
      </c>
      <c r="F29" s="3" t="s">
        <v>204</v>
      </c>
      <c r="G29" s="3" t="s">
        <v>205</v>
      </c>
      <c r="H29" s="3"/>
      <c r="I29" s="3" t="s">
        <v>206</v>
      </c>
      <c r="J29" s="8" t="s">
        <v>23</v>
      </c>
      <c r="K29" s="3" t="s">
        <v>322</v>
      </c>
      <c r="L29" s="3"/>
      <c r="M29" s="3"/>
      <c r="N29" s="3" t="s">
        <v>404</v>
      </c>
    </row>
    <row r="30" spans="1:14" x14ac:dyDescent="0.35">
      <c r="A30" s="6" t="s">
        <v>181</v>
      </c>
      <c r="B30" s="3" t="s">
        <v>207</v>
      </c>
      <c r="C30" s="3" t="s">
        <v>157</v>
      </c>
      <c r="D30" s="3" t="s">
        <v>208</v>
      </c>
      <c r="E30" s="3" t="s">
        <v>209</v>
      </c>
      <c r="F30" s="3" t="s">
        <v>210</v>
      </c>
      <c r="G30" s="3" t="s">
        <v>211</v>
      </c>
      <c r="H30" s="3"/>
      <c r="I30" s="3" t="s">
        <v>212</v>
      </c>
      <c r="J30" s="8" t="s">
        <v>23</v>
      </c>
      <c r="K30" s="3" t="s">
        <v>322</v>
      </c>
      <c r="L30" s="3"/>
      <c r="M30" s="3"/>
      <c r="N30" s="3" t="s">
        <v>424</v>
      </c>
    </row>
    <row r="31" spans="1:14" ht="25" customHeight="1" x14ac:dyDescent="0.35">
      <c r="A31" s="6" t="s">
        <v>181</v>
      </c>
      <c r="B31" s="3" t="s">
        <v>213</v>
      </c>
      <c r="C31" s="3" t="s">
        <v>171</v>
      </c>
      <c r="D31" s="3" t="s">
        <v>214</v>
      </c>
      <c r="E31" s="3" t="s">
        <v>215</v>
      </c>
      <c r="F31" s="3" t="s">
        <v>216</v>
      </c>
      <c r="G31" s="21" t="s">
        <v>509</v>
      </c>
      <c r="H31" s="8" t="s">
        <v>217</v>
      </c>
      <c r="I31" s="3" t="s">
        <v>218</v>
      </c>
      <c r="J31" s="8" t="s">
        <v>23</v>
      </c>
      <c r="K31" s="3" t="s">
        <v>322</v>
      </c>
      <c r="L31" s="3" t="s">
        <v>515</v>
      </c>
      <c r="M31" s="3"/>
      <c r="N31" s="3" t="s">
        <v>424</v>
      </c>
    </row>
    <row r="32" spans="1:14" ht="217.5" customHeight="1" x14ac:dyDescent="0.35">
      <c r="A32" s="6" t="s">
        <v>181</v>
      </c>
      <c r="B32" s="8" t="s">
        <v>219</v>
      </c>
      <c r="C32" s="3" t="s">
        <v>157</v>
      </c>
      <c r="D32" s="8" t="s">
        <v>220</v>
      </c>
      <c r="E32" s="3" t="s">
        <v>221</v>
      </c>
      <c r="F32" s="3" t="s">
        <v>222</v>
      </c>
      <c r="G32" s="3"/>
      <c r="H32" s="3"/>
      <c r="I32" s="3" t="s">
        <v>223</v>
      </c>
      <c r="J32" s="8" t="s">
        <v>23</v>
      </c>
      <c r="K32" s="3" t="s">
        <v>352</v>
      </c>
      <c r="L32" s="3" t="s">
        <v>425</v>
      </c>
      <c r="M32" s="3"/>
      <c r="N32" s="3"/>
    </row>
    <row r="33" spans="1:15" ht="25" customHeight="1" x14ac:dyDescent="0.35">
      <c r="A33" s="6" t="s">
        <v>181</v>
      </c>
      <c r="B33" s="8" t="s">
        <v>224</v>
      </c>
      <c r="C33" s="3" t="s">
        <v>225</v>
      </c>
      <c r="D33" s="3" t="s">
        <v>445</v>
      </c>
      <c r="E33" s="3" t="s">
        <v>92</v>
      </c>
      <c r="F33" s="3" t="s">
        <v>226</v>
      </c>
      <c r="G33" s="8" t="s">
        <v>227</v>
      </c>
      <c r="H33" s="3"/>
      <c r="I33" s="3" t="s">
        <v>228</v>
      </c>
      <c r="J33" s="8" t="s">
        <v>229</v>
      </c>
      <c r="K33" s="3" t="s">
        <v>322</v>
      </c>
      <c r="L33" s="3" t="s">
        <v>446</v>
      </c>
      <c r="M33" s="3"/>
      <c r="N33" s="3" t="s">
        <v>447</v>
      </c>
    </row>
    <row r="34" spans="1:15" ht="125" x14ac:dyDescent="0.35">
      <c r="A34" s="2" t="s">
        <v>230</v>
      </c>
      <c r="B34" s="3" t="s">
        <v>231</v>
      </c>
      <c r="C34" s="3"/>
      <c r="D34" s="3" t="s">
        <v>532</v>
      </c>
      <c r="E34" s="3" t="s">
        <v>533</v>
      </c>
      <c r="F34" s="3" t="s">
        <v>234</v>
      </c>
      <c r="G34" s="7" t="s">
        <v>235</v>
      </c>
      <c r="H34" s="8" t="s">
        <v>236</v>
      </c>
      <c r="I34" s="3" t="s">
        <v>237</v>
      </c>
      <c r="J34" s="8" t="s">
        <v>23</v>
      </c>
      <c r="K34" s="3" t="s">
        <v>535</v>
      </c>
      <c r="L34" s="3" t="s">
        <v>536</v>
      </c>
      <c r="M34" s="3"/>
      <c r="N34" s="3" t="s">
        <v>436</v>
      </c>
      <c r="O34" t="s">
        <v>534</v>
      </c>
    </row>
    <row r="35" spans="1:15" ht="50" x14ac:dyDescent="0.35">
      <c r="A35" s="2" t="s">
        <v>230</v>
      </c>
      <c r="B35" s="3" t="s">
        <v>238</v>
      </c>
      <c r="C35" s="8" t="s">
        <v>124</v>
      </c>
      <c r="D35" s="3" t="s">
        <v>427</v>
      </c>
      <c r="E35" s="8" t="s">
        <v>28</v>
      </c>
      <c r="F35" s="3" t="s">
        <v>506</v>
      </c>
      <c r="G35" s="21" t="s">
        <v>428</v>
      </c>
      <c r="H35" s="8" t="s">
        <v>239</v>
      </c>
      <c r="I35" s="8" t="s">
        <v>240</v>
      </c>
      <c r="J35" s="8" t="s">
        <v>229</v>
      </c>
      <c r="K35" s="3" t="s">
        <v>322</v>
      </c>
      <c r="L35" s="3" t="s">
        <v>671</v>
      </c>
      <c r="M35" s="8"/>
      <c r="N35" s="3" t="s">
        <v>672</v>
      </c>
    </row>
    <row r="36" spans="1:15" ht="25" customHeight="1" x14ac:dyDescent="0.35">
      <c r="A36" s="2" t="s">
        <v>230</v>
      </c>
      <c r="B36" s="3" t="s">
        <v>241</v>
      </c>
      <c r="C36" s="3" t="s">
        <v>242</v>
      </c>
      <c r="D36" s="3" t="s">
        <v>243</v>
      </c>
      <c r="E36" t="s">
        <v>507</v>
      </c>
      <c r="F36" s="3" t="s">
        <v>244</v>
      </c>
      <c r="G36" s="12" t="s">
        <v>245</v>
      </c>
      <c r="H36" s="3"/>
      <c r="I36" s="3" t="s">
        <v>246</v>
      </c>
      <c r="J36" s="8" t="s">
        <v>102</v>
      </c>
      <c r="K36" s="3" t="s">
        <v>341</v>
      </c>
      <c r="L36" s="3" t="s">
        <v>505</v>
      </c>
      <c r="M36" s="3"/>
      <c r="N36" s="3"/>
    </row>
    <row r="37" spans="1:15" ht="62.5" x14ac:dyDescent="0.35">
      <c r="A37" s="4" t="s">
        <v>247</v>
      </c>
      <c r="B37" s="25" t="s">
        <v>248</v>
      </c>
      <c r="C37" s="25"/>
      <c r="D37" s="25" t="s">
        <v>508</v>
      </c>
      <c r="E37" s="25" t="s">
        <v>520</v>
      </c>
      <c r="F37" s="25"/>
      <c r="G37" s="27" t="s">
        <v>250</v>
      </c>
      <c r="H37" s="25"/>
      <c r="I37" s="25" t="s">
        <v>251</v>
      </c>
      <c r="J37" s="26" t="s">
        <v>177</v>
      </c>
      <c r="K37" s="25" t="s">
        <v>307</v>
      </c>
      <c r="L37" s="25" t="s">
        <v>519</v>
      </c>
      <c r="M37" s="25"/>
      <c r="N37" s="25"/>
    </row>
    <row r="38" spans="1:15" ht="37.5" x14ac:dyDescent="0.35">
      <c r="A38" s="4" t="s">
        <v>247</v>
      </c>
      <c r="B38" s="3" t="s">
        <v>252</v>
      </c>
      <c r="C38" s="3" t="s">
        <v>253</v>
      </c>
      <c r="D38" s="3" t="s">
        <v>254</v>
      </c>
      <c r="E38" s="3" t="s">
        <v>255</v>
      </c>
      <c r="F38" s="11" t="s">
        <v>256</v>
      </c>
      <c r="G38" s="8" t="s">
        <v>257</v>
      </c>
      <c r="H38" s="8" t="s">
        <v>258</v>
      </c>
      <c r="I38" s="3" t="s">
        <v>259</v>
      </c>
      <c r="J38" s="8" t="s">
        <v>23</v>
      </c>
      <c r="K38" s="3" t="s">
        <v>322</v>
      </c>
      <c r="L38" s="3" t="s">
        <v>474</v>
      </c>
      <c r="M38" s="3"/>
      <c r="N38" s="3" t="s">
        <v>475</v>
      </c>
    </row>
    <row r="39" spans="1:15" ht="25" customHeight="1" x14ac:dyDescent="0.35">
      <c r="A39" s="5" t="s">
        <v>260</v>
      </c>
      <c r="B39" s="3" t="s">
        <v>261</v>
      </c>
      <c r="C39" s="3" t="s">
        <v>262</v>
      </c>
      <c r="D39" s="3" t="s">
        <v>263</v>
      </c>
      <c r="E39" s="8" t="s">
        <v>28</v>
      </c>
      <c r="F39" s="3"/>
      <c r="G39" s="8" t="s">
        <v>264</v>
      </c>
      <c r="I39" s="3" t="s">
        <v>265</v>
      </c>
      <c r="J39" s="8" t="s">
        <v>266</v>
      </c>
      <c r="K39" s="3" t="s">
        <v>341</v>
      </c>
      <c r="L39" s="3" t="s">
        <v>503</v>
      </c>
      <c r="M39" s="3"/>
      <c r="N39" s="3"/>
    </row>
    <row r="40" spans="1:15" ht="25" customHeight="1" x14ac:dyDescent="0.35">
      <c r="A40" s="5" t="s">
        <v>260</v>
      </c>
      <c r="B40" s="3" t="s">
        <v>267</v>
      </c>
      <c r="C40" s="3" t="s">
        <v>268</v>
      </c>
      <c r="D40" s="3" t="s">
        <v>269</v>
      </c>
      <c r="E40" s="3" t="s">
        <v>270</v>
      </c>
      <c r="F40" s="3" t="s">
        <v>271</v>
      </c>
      <c r="G40" s="8" t="s">
        <v>272</v>
      </c>
      <c r="H40" s="3"/>
      <c r="I40" s="3" t="s">
        <v>273</v>
      </c>
      <c r="J40" s="8" t="s">
        <v>274</v>
      </c>
      <c r="K40" s="3" t="s">
        <v>341</v>
      </c>
      <c r="L40" s="3" t="s">
        <v>503</v>
      </c>
      <c r="M40" s="3"/>
      <c r="N40" s="3"/>
    </row>
    <row r="41" spans="1:15" ht="50" x14ac:dyDescent="0.35">
      <c r="A41" s="5" t="s">
        <v>260</v>
      </c>
      <c r="B41" s="3" t="s">
        <v>275</v>
      </c>
      <c r="C41" s="3" t="s">
        <v>157</v>
      </c>
      <c r="D41" s="3" t="s">
        <v>479</v>
      </c>
      <c r="E41" s="3" t="s">
        <v>276</v>
      </c>
      <c r="F41" s="3"/>
      <c r="G41" s="3" t="s">
        <v>277</v>
      </c>
      <c r="H41" s="3" t="s">
        <v>278</v>
      </c>
      <c r="I41" s="3" t="s">
        <v>279</v>
      </c>
      <c r="J41" s="8" t="s">
        <v>82</v>
      </c>
      <c r="K41" s="3" t="s">
        <v>322</v>
      </c>
      <c r="L41" s="3" t="s">
        <v>490</v>
      </c>
      <c r="M41" s="3"/>
      <c r="N41" s="3" t="s">
        <v>491</v>
      </c>
    </row>
    <row r="42" spans="1:15" ht="25" customHeight="1" x14ac:dyDescent="0.35">
      <c r="A42" s="5" t="s">
        <v>260</v>
      </c>
      <c r="B42" s="3" t="s">
        <v>280</v>
      </c>
      <c r="C42" s="3" t="s">
        <v>179</v>
      </c>
      <c r="D42" s="3" t="s">
        <v>281</v>
      </c>
      <c r="E42" s="8" t="s">
        <v>282</v>
      </c>
      <c r="F42" s="7" t="s">
        <v>283</v>
      </c>
      <c r="G42" s="3" t="s">
        <v>284</v>
      </c>
      <c r="H42" s="3"/>
      <c r="I42" s="3" t="s">
        <v>285</v>
      </c>
      <c r="J42" s="8" t="s">
        <v>286</v>
      </c>
      <c r="K42" s="3" t="s">
        <v>341</v>
      </c>
      <c r="L42" s="3" t="s">
        <v>341</v>
      </c>
      <c r="M42" s="3"/>
    </row>
    <row r="43" spans="1:15" ht="37.5" x14ac:dyDescent="0.35">
      <c r="A43" s="5" t="s">
        <v>260</v>
      </c>
      <c r="B43" s="3" t="s">
        <v>287</v>
      </c>
      <c r="C43" s="3" t="s">
        <v>288</v>
      </c>
      <c r="D43" s="3" t="s">
        <v>451</v>
      </c>
      <c r="E43" s="8" t="s">
        <v>276</v>
      </c>
      <c r="F43" s="7" t="s">
        <v>289</v>
      </c>
      <c r="G43" s="3" t="s">
        <v>448</v>
      </c>
      <c r="H43" s="3"/>
      <c r="I43" s="3" t="s">
        <v>290</v>
      </c>
      <c r="J43" s="8" t="s">
        <v>291</v>
      </c>
      <c r="K43" s="3" t="s">
        <v>352</v>
      </c>
      <c r="L43" s="3" t="s">
        <v>453</v>
      </c>
      <c r="M43" s="3"/>
      <c r="N43" s="3"/>
    </row>
    <row r="50" spans="1:5" x14ac:dyDescent="0.35">
      <c r="A50" t="s">
        <v>292</v>
      </c>
    </row>
    <row r="51" spans="1:5" x14ac:dyDescent="0.35">
      <c r="A51" t="s">
        <v>293</v>
      </c>
    </row>
    <row r="56" spans="1:5" x14ac:dyDescent="0.35">
      <c r="E56" t="s">
        <v>472</v>
      </c>
    </row>
  </sheetData>
  <dataValidations count="1">
    <dataValidation type="list" allowBlank="1" sqref="K2:K43 L42" xr:uid="{00000000-0002-0000-0000-000000000000}">
      <formula1>"Not contacted,Emailed,Called,Meeting scheduled,Replied,No response,Connected,Not a fit"</formula1>
      <formula2>0</formula2>
    </dataValidation>
  </dataValidations>
  <hyperlinks>
    <hyperlink ref="F8" r:id="rId1" display="mailto:bunnellr@ci.woodland.wa.us" xr:uid="{00000000-0004-0000-0000-000000000000}"/>
    <hyperlink ref="F13" r:id="rId2" display="mailto:rvictoriano@osgov.com" xr:uid="{00000000-0004-0000-0000-000001000000}"/>
    <hyperlink ref="G13" r:id="rId3" display="tel:(360) 940-7535" xr:uid="{00000000-0004-0000-0000-000002000000}"/>
    <hyperlink ref="F17" r:id="rId4" xr:uid="{00000000-0004-0000-0000-000003000000}"/>
    <hyperlink ref="I19" r:id="rId5" display="mailto:ChrisT@whitesalmonwa.gov" xr:uid="{00000000-0004-0000-0000-000004000000}"/>
    <hyperlink ref="I24" r:id="rId6" xr:uid="{00000000-0004-0000-0000-000005000000}"/>
    <hyperlink ref="F28" r:id="rId7" xr:uid="{00000000-0004-0000-0000-000006000000}"/>
    <hyperlink ref="G28" r:id="rId8" display="tel: 15096893464" xr:uid="{00000000-0004-0000-0000-000007000000}"/>
    <hyperlink ref="F34" r:id="rId9" xr:uid="{00000000-0004-0000-0000-000008000000}"/>
    <hyperlink ref="G34" r:id="rId10" display="tel:5094273909" xr:uid="{00000000-0004-0000-0000-000009000000}"/>
    <hyperlink ref="G37" r:id="rId11" display="tel:3607953301" xr:uid="{00000000-0004-0000-0000-00000B000000}"/>
    <hyperlink ref="F42" r:id="rId12" display="mailto:tekoapublicworksdept@gmail.com" xr:uid="{00000000-0004-0000-0000-00000C000000}"/>
    <hyperlink ref="F43" r:id="rId13" display="mailto:maintenance@rosaliatown.org" xr:uid="{00000000-0004-0000-0000-00000D000000}"/>
    <hyperlink ref="F32" r:id="rId14" xr:uid="{F0CD8F8F-40E3-4E0A-BB9E-E10D587F9C0A}"/>
    <hyperlink ref="F5" r:id="rId15" xr:uid="{1730C3C0-43FB-48C7-BEA4-27CA2545CFE1}"/>
    <hyperlink ref="F22" r:id="rId16" xr:uid="{CCC4220E-4697-45C7-86ED-5D2D3EAE6792}"/>
    <hyperlink ref="F36" r:id="rId17" display="mailto:bryanh@northbonneville.net" xr:uid="{00000000-0004-0000-0000-00000A000000}"/>
  </hyperlinks>
  <pageMargins left="0.75" right="0.75" top="1" bottom="1" header="0.511811023622047" footer="0.511811023622047"/>
  <pageSetup paperSize="9" orientation="portrait" horizontalDpi="300" verticalDpi="300"/>
  <tableParts count="1">
    <tablePart r:id="rId1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1"/>
  <sheetViews>
    <sheetView topLeftCell="A17" workbookViewId="0">
      <selection activeCell="A21" sqref="A21:C32"/>
    </sheetView>
  </sheetViews>
  <sheetFormatPr defaultRowHeight="14.5" x14ac:dyDescent="0.35"/>
  <cols>
    <col min="1" max="1" width="14" customWidth="1"/>
    <col min="2" max="2" width="12.453125" customWidth="1"/>
    <col min="3" max="3" width="40.7265625" customWidth="1"/>
    <col min="4" max="4" width="36.7265625"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2" t="s">
        <v>14</v>
      </c>
      <c r="B2" s="8" t="s">
        <v>15</v>
      </c>
      <c r="C2" s="8" t="s">
        <v>16</v>
      </c>
      <c r="D2" s="8" t="s">
        <v>17</v>
      </c>
      <c r="E2" s="8" t="s">
        <v>18</v>
      </c>
      <c r="F2" s="8" t="s">
        <v>19</v>
      </c>
      <c r="G2" s="8" t="s">
        <v>20</v>
      </c>
      <c r="H2" s="8" t="s">
        <v>21</v>
      </c>
      <c r="I2" s="8" t="s">
        <v>22</v>
      </c>
      <c r="J2" s="8" t="s">
        <v>23</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ht="14.5" customHeight="1"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ht="37.5" customHeight="1" x14ac:dyDescent="0.35">
      <c r="A23" s="16" t="s">
        <v>294</v>
      </c>
      <c r="B23" s="16" t="s">
        <v>311</v>
      </c>
      <c r="C23" s="16" t="s">
        <v>335</v>
      </c>
      <c r="D23" s="16"/>
    </row>
    <row r="24" spans="1:4" ht="29.5" customHeight="1" x14ac:dyDescent="0.35">
      <c r="A24" s="16" t="s">
        <v>295</v>
      </c>
      <c r="B24" s="16" t="s">
        <v>314</v>
      </c>
      <c r="C24" s="16"/>
      <c r="D24" s="16"/>
    </row>
    <row r="25" spans="1:4" ht="32" customHeight="1" x14ac:dyDescent="0.35">
      <c r="A25" s="16" t="s">
        <v>296</v>
      </c>
      <c r="B25" s="16" t="s">
        <v>311</v>
      </c>
      <c r="C25" s="16" t="s">
        <v>334</v>
      </c>
      <c r="D25" s="16"/>
    </row>
    <row r="26" spans="1:4" ht="35.5" customHeight="1" x14ac:dyDescent="0.35">
      <c r="A26" s="16" t="s">
        <v>297</v>
      </c>
      <c r="B26" s="16" t="s">
        <v>314</v>
      </c>
      <c r="C26" s="16"/>
      <c r="D26" s="16"/>
    </row>
    <row r="27" spans="1:4" ht="45.5" customHeight="1" x14ac:dyDescent="0.35">
      <c r="A27" s="16" t="s">
        <v>298</v>
      </c>
      <c r="B27" s="16" t="s">
        <v>311</v>
      </c>
      <c r="C27" s="16" t="s">
        <v>336</v>
      </c>
      <c r="D27" s="16"/>
    </row>
    <row r="28" spans="1:4" ht="31.5" customHeight="1" x14ac:dyDescent="0.35">
      <c r="A28" s="16" t="s">
        <v>299</v>
      </c>
      <c r="B28" s="16" t="s">
        <v>311</v>
      </c>
      <c r="C28" s="16" t="s">
        <v>337</v>
      </c>
      <c r="D28" s="16"/>
    </row>
    <row r="29" spans="1:4" ht="58" x14ac:dyDescent="0.35">
      <c r="A29" s="16" t="s">
        <v>300</v>
      </c>
      <c r="B29" s="16" t="s">
        <v>314</v>
      </c>
      <c r="C29" s="16" t="s">
        <v>338</v>
      </c>
      <c r="D29" s="16"/>
    </row>
    <row r="30" spans="1:4" ht="32" customHeight="1" x14ac:dyDescent="0.35">
      <c r="A30" s="16" t="s">
        <v>301</v>
      </c>
      <c r="B30" s="16" t="s">
        <v>314</v>
      </c>
      <c r="C30" s="16"/>
      <c r="D30" s="16"/>
    </row>
    <row r="31" spans="1:4" ht="42" customHeight="1" x14ac:dyDescent="0.35">
      <c r="A31" s="16" t="s">
        <v>303</v>
      </c>
      <c r="B31" s="16"/>
      <c r="C31" s="16"/>
      <c r="D31" s="16"/>
    </row>
  </sheetData>
  <mergeCells count="1">
    <mergeCell ref="A5:D19"/>
  </mergeCells>
  <phoneticPr fontId="11" type="noConversion"/>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1"/>
  <sheetViews>
    <sheetView workbookViewId="0">
      <selection activeCell="A5" sqref="A5:D19"/>
    </sheetView>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2" t="s">
        <v>14</v>
      </c>
      <c r="B2" s="8" t="s">
        <v>25</v>
      </c>
      <c r="C2" s="8" t="s">
        <v>26</v>
      </c>
      <c r="D2" s="8" t="s">
        <v>27</v>
      </c>
      <c r="E2" s="8" t="s">
        <v>28</v>
      </c>
      <c r="F2" s="8" t="s">
        <v>29</v>
      </c>
      <c r="G2" s="8" t="s">
        <v>30</v>
      </c>
      <c r="H2" s="8"/>
      <c r="I2" s="8" t="s">
        <v>31</v>
      </c>
      <c r="J2" s="8" t="s">
        <v>23</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1"/>
  <sheetViews>
    <sheetView topLeftCell="A32" workbookViewId="0">
      <selection activeCell="C27" sqref="C27:C34"/>
    </sheetView>
  </sheetViews>
  <sheetFormatPr defaultRowHeight="14.5" x14ac:dyDescent="0.35"/>
  <cols>
    <col min="1" max="1" width="14" customWidth="1"/>
    <col min="2" max="2" width="18" customWidth="1"/>
    <col min="3" max="3" width="20.7265625" bestFit="1"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4" t="s">
        <v>32</v>
      </c>
      <c r="B2" s="8" t="s">
        <v>33</v>
      </c>
      <c r="C2" s="8" t="s">
        <v>34</v>
      </c>
      <c r="D2" s="8" t="s">
        <v>35</v>
      </c>
      <c r="E2" s="8" t="s">
        <v>28</v>
      </c>
      <c r="F2" s="8" t="s">
        <v>36</v>
      </c>
      <c r="G2" s="8" t="s">
        <v>37</v>
      </c>
      <c r="H2" s="8"/>
      <c r="I2" s="8" t="s">
        <v>38</v>
      </c>
      <c r="J2" s="8" t="s">
        <v>23</v>
      </c>
      <c r="K2" s="8" t="s">
        <v>24</v>
      </c>
      <c r="L2" s="8"/>
      <c r="M2" s="8"/>
      <c r="N2" s="8"/>
    </row>
    <row r="3" spans="1:14" x14ac:dyDescent="0.35">
      <c r="A3" s="18"/>
      <c r="B3" s="19"/>
      <c r="C3" s="19"/>
      <c r="D3" s="19"/>
      <c r="E3" s="19"/>
      <c r="F3" s="19"/>
      <c r="G3" s="19"/>
      <c r="H3" s="19"/>
      <c r="I3" s="19"/>
      <c r="J3" s="19"/>
      <c r="K3" s="19"/>
      <c r="L3" s="19"/>
      <c r="M3" s="19"/>
      <c r="N3" s="19"/>
    </row>
    <row r="5" spans="1:14" x14ac:dyDescent="0.35">
      <c r="A5" s="17" t="s">
        <v>405</v>
      </c>
      <c r="B5" s="17"/>
      <c r="C5" s="17"/>
      <c r="D5" s="17"/>
      <c r="E5" s="17"/>
    </row>
    <row r="6" spans="1:14" x14ac:dyDescent="0.35">
      <c r="A6" t="s">
        <v>308</v>
      </c>
    </row>
    <row r="9" spans="1:14" x14ac:dyDescent="0.35">
      <c r="A9" s="120" t="s">
        <v>302</v>
      </c>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0" spans="1:4" x14ac:dyDescent="0.35">
      <c r="A20" s="120"/>
      <c r="B20" s="120"/>
      <c r="C20" s="120"/>
      <c r="D20" s="120"/>
    </row>
    <row r="21" spans="1:4" x14ac:dyDescent="0.35">
      <c r="A21" s="120"/>
      <c r="B21" s="120"/>
      <c r="C21" s="120"/>
      <c r="D21" s="120"/>
    </row>
    <row r="22" spans="1:4" x14ac:dyDescent="0.35">
      <c r="A22" s="120"/>
      <c r="B22" s="120"/>
      <c r="C22" s="120"/>
      <c r="D22" s="120"/>
    </row>
    <row r="23" spans="1:4" x14ac:dyDescent="0.35">
      <c r="A23" s="120"/>
      <c r="B23" s="120"/>
      <c r="C23" s="120"/>
      <c r="D23" s="120"/>
    </row>
    <row r="26" spans="1:4" x14ac:dyDescent="0.35">
      <c r="A26" t="s">
        <v>306</v>
      </c>
      <c r="B26" t="s">
        <v>304</v>
      </c>
      <c r="C26" t="s">
        <v>305</v>
      </c>
      <c r="D26" t="s">
        <v>333</v>
      </c>
    </row>
    <row r="27" spans="1:4" ht="116" x14ac:dyDescent="0.35">
      <c r="A27" s="16" t="s">
        <v>294</v>
      </c>
      <c r="B27" s="16"/>
      <c r="C27" s="16" t="s">
        <v>410</v>
      </c>
      <c r="D27" s="16"/>
    </row>
    <row r="28" spans="1:4" x14ac:dyDescent="0.35">
      <c r="A28" s="16" t="s">
        <v>295</v>
      </c>
      <c r="B28" s="16" t="s">
        <v>314</v>
      </c>
      <c r="C28" s="16"/>
      <c r="D28" s="16"/>
    </row>
    <row r="29" spans="1:4" ht="130.5" x14ac:dyDescent="0.35">
      <c r="A29" s="16" t="s">
        <v>296</v>
      </c>
      <c r="B29" s="16" t="s">
        <v>314</v>
      </c>
      <c r="C29" s="16" t="s">
        <v>411</v>
      </c>
      <c r="D29" s="16"/>
    </row>
    <row r="30" spans="1:4" ht="130.5" x14ac:dyDescent="0.35">
      <c r="A30" s="16" t="s">
        <v>297</v>
      </c>
      <c r="B30" s="16" t="s">
        <v>406</v>
      </c>
      <c r="C30" s="16" t="s">
        <v>412</v>
      </c>
      <c r="D30" s="16"/>
    </row>
    <row r="31" spans="1:4" ht="43.5" x14ac:dyDescent="0.35">
      <c r="A31" s="16" t="s">
        <v>298</v>
      </c>
      <c r="B31" s="16" t="s">
        <v>314</v>
      </c>
      <c r="C31" s="16" t="s">
        <v>407</v>
      </c>
      <c r="D31" s="16"/>
    </row>
    <row r="32" spans="1:4" ht="232" x14ac:dyDescent="0.35">
      <c r="A32" s="16" t="s">
        <v>299</v>
      </c>
      <c r="B32" s="16"/>
      <c r="C32" s="16" t="s">
        <v>558</v>
      </c>
      <c r="D32" s="16"/>
    </row>
    <row r="33" spans="1:4" ht="188.5" x14ac:dyDescent="0.35">
      <c r="A33" s="16" t="s">
        <v>300</v>
      </c>
      <c r="B33" s="16" t="s">
        <v>311</v>
      </c>
      <c r="C33" s="16" t="s">
        <v>413</v>
      </c>
      <c r="D33" s="16"/>
    </row>
    <row r="34" spans="1:4" ht="58" x14ac:dyDescent="0.35">
      <c r="A34" s="16" t="s">
        <v>301</v>
      </c>
      <c r="B34" s="16" t="s">
        <v>311</v>
      </c>
      <c r="C34" s="16" t="s">
        <v>408</v>
      </c>
      <c r="D34" s="16"/>
    </row>
    <row r="35" spans="1:4" x14ac:dyDescent="0.35">
      <c r="A35" s="16" t="s">
        <v>303</v>
      </c>
      <c r="B35" s="16"/>
      <c r="C35" s="16"/>
      <c r="D35" s="16"/>
    </row>
    <row r="41" spans="1:4" x14ac:dyDescent="0.35">
      <c r="D41" t="s">
        <v>409</v>
      </c>
    </row>
  </sheetData>
  <mergeCells count="1">
    <mergeCell ref="A9:D23"/>
  </mergeCells>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1"/>
  <sheetViews>
    <sheetView zoomScale="106" workbookViewId="0">
      <selection activeCell="B3" sqref="B3"/>
    </sheetView>
  </sheetViews>
  <sheetFormatPr defaultRowHeight="14.5" x14ac:dyDescent="0.35"/>
  <cols>
    <col min="1" max="1" width="14" customWidth="1"/>
    <col min="2" max="2" width="18" customWidth="1"/>
    <col min="3" max="3" width="20.7265625" bestFit="1"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25" x14ac:dyDescent="0.35">
      <c r="A2" s="5" t="s">
        <v>39</v>
      </c>
      <c r="B2" s="8" t="s">
        <v>40</v>
      </c>
      <c r="C2" s="8" t="s">
        <v>41</v>
      </c>
      <c r="D2" s="8" t="s">
        <v>42</v>
      </c>
      <c r="E2" s="8" t="s">
        <v>28</v>
      </c>
      <c r="F2" s="8" t="s">
        <v>43</v>
      </c>
      <c r="G2" s="8" t="s">
        <v>44</v>
      </c>
      <c r="H2" s="8"/>
      <c r="I2" s="8" t="s">
        <v>45</v>
      </c>
      <c r="J2" s="8" t="s">
        <v>46</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ht="43.5" x14ac:dyDescent="0.35">
      <c r="A23" s="16" t="s">
        <v>294</v>
      </c>
      <c r="B23" s="16" t="s">
        <v>311</v>
      </c>
      <c r="C23" s="16" t="s">
        <v>541</v>
      </c>
    </row>
    <row r="24" spans="1:4" x14ac:dyDescent="0.35">
      <c r="A24" s="16" t="s">
        <v>295</v>
      </c>
      <c r="B24" s="16" t="s">
        <v>311</v>
      </c>
      <c r="C24" s="16" t="s">
        <v>539</v>
      </c>
    </row>
    <row r="25" spans="1:4" ht="58" x14ac:dyDescent="0.35">
      <c r="A25" s="16" t="s">
        <v>296</v>
      </c>
      <c r="B25" s="16" t="s">
        <v>314</v>
      </c>
      <c r="C25" s="16" t="s">
        <v>542</v>
      </c>
    </row>
    <row r="26" spans="1:4" ht="217.5" x14ac:dyDescent="0.35">
      <c r="A26" s="16" t="s">
        <v>297</v>
      </c>
      <c r="B26" s="16" t="s">
        <v>311</v>
      </c>
      <c r="C26" s="16" t="s">
        <v>543</v>
      </c>
    </row>
    <row r="27" spans="1:4" ht="101.5" x14ac:dyDescent="0.35">
      <c r="A27" s="16" t="s">
        <v>298</v>
      </c>
      <c r="B27" s="16" t="s">
        <v>311</v>
      </c>
      <c r="C27" s="16" t="s">
        <v>544</v>
      </c>
    </row>
    <row r="28" spans="1:4" ht="116" x14ac:dyDescent="0.35">
      <c r="A28" s="16" t="s">
        <v>299</v>
      </c>
      <c r="B28" s="16"/>
      <c r="C28" s="16" t="s">
        <v>545</v>
      </c>
    </row>
    <row r="29" spans="1:4" ht="159.5" x14ac:dyDescent="0.35">
      <c r="A29" s="16" t="s">
        <v>300</v>
      </c>
      <c r="B29" s="16" t="s">
        <v>311</v>
      </c>
      <c r="C29" s="16" t="s">
        <v>540</v>
      </c>
    </row>
    <row r="30" spans="1:4" ht="217.5" x14ac:dyDescent="0.35">
      <c r="A30" s="16" t="s">
        <v>301</v>
      </c>
      <c r="B30" s="16" t="s">
        <v>311</v>
      </c>
      <c r="C30" s="16" t="s">
        <v>546</v>
      </c>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5" t="s">
        <v>39</v>
      </c>
      <c r="B2" s="8" t="s">
        <v>47</v>
      </c>
      <c r="C2" s="8" t="s">
        <v>48</v>
      </c>
      <c r="D2" s="8" t="s">
        <v>49</v>
      </c>
      <c r="E2" s="8" t="s">
        <v>50</v>
      </c>
      <c r="F2" s="8"/>
      <c r="G2" s="8" t="s">
        <v>51</v>
      </c>
      <c r="H2" s="8"/>
      <c r="I2" s="8" t="s">
        <v>52</v>
      </c>
      <c r="J2" s="8" t="s">
        <v>53</v>
      </c>
      <c r="K2" s="8" t="s">
        <v>24</v>
      </c>
      <c r="L2" s="8"/>
      <c r="M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5" t="s">
        <v>39</v>
      </c>
      <c r="B2" s="8" t="s">
        <v>54</v>
      </c>
      <c r="C2" s="8" t="s">
        <v>55</v>
      </c>
      <c r="D2" s="8" t="s">
        <v>56</v>
      </c>
      <c r="E2" s="8" t="s">
        <v>28</v>
      </c>
      <c r="F2" s="8" t="s">
        <v>57</v>
      </c>
      <c r="G2" s="8" t="s">
        <v>58</v>
      </c>
      <c r="H2" s="8"/>
      <c r="I2" s="8" t="s">
        <v>59</v>
      </c>
      <c r="J2" s="8" t="s">
        <v>23</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25" x14ac:dyDescent="0.35">
      <c r="A2" s="5" t="s">
        <v>39</v>
      </c>
      <c r="B2" s="3" t="s">
        <v>60</v>
      </c>
      <c r="C2" s="8" t="s">
        <v>61</v>
      </c>
      <c r="D2" s="3" t="s">
        <v>62</v>
      </c>
      <c r="E2" s="8" t="s">
        <v>28</v>
      </c>
      <c r="F2" s="14" t="s">
        <v>63</v>
      </c>
      <c r="G2" s="8" t="s">
        <v>64</v>
      </c>
      <c r="H2" s="8"/>
      <c r="I2" s="8" t="s">
        <v>65</v>
      </c>
      <c r="J2" s="8" t="s">
        <v>66</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c r="D22" t="s">
        <v>333</v>
      </c>
    </row>
    <row r="23" spans="1:4" x14ac:dyDescent="0.35">
      <c r="A23" s="16" t="s">
        <v>294</v>
      </c>
      <c r="B23" s="16"/>
      <c r="C23" s="16"/>
      <c r="D23" s="16"/>
    </row>
    <row r="24" spans="1:4" ht="29" x14ac:dyDescent="0.35">
      <c r="A24" s="16" t="s">
        <v>295</v>
      </c>
      <c r="B24" s="16" t="s">
        <v>382</v>
      </c>
      <c r="C24" s="16" t="s">
        <v>383</v>
      </c>
      <c r="D24" s="16"/>
    </row>
    <row r="25" spans="1:4" x14ac:dyDescent="0.35">
      <c r="A25" s="16" t="s">
        <v>296</v>
      </c>
      <c r="B25" s="16" t="s">
        <v>311</v>
      </c>
      <c r="C25" s="16" t="s">
        <v>384</v>
      </c>
      <c r="D25" s="16"/>
    </row>
    <row r="26" spans="1:4" ht="72.5" x14ac:dyDescent="0.35">
      <c r="A26" s="16" t="s">
        <v>297</v>
      </c>
      <c r="B26" s="16" t="s">
        <v>311</v>
      </c>
      <c r="C26" s="16" t="s">
        <v>385</v>
      </c>
      <c r="D26" s="16"/>
    </row>
    <row r="27" spans="1:4" ht="304.5" x14ac:dyDescent="0.35">
      <c r="A27" s="16" t="s">
        <v>298</v>
      </c>
      <c r="B27" s="16"/>
      <c r="C27" s="16" t="s">
        <v>386</v>
      </c>
      <c r="D27" s="16"/>
    </row>
    <row r="28" spans="1:4" ht="87" x14ac:dyDescent="0.35">
      <c r="A28" s="16" t="s">
        <v>299</v>
      </c>
      <c r="B28" s="16" t="s">
        <v>314</v>
      </c>
      <c r="C28" s="16" t="s">
        <v>387</v>
      </c>
      <c r="D28" s="16"/>
    </row>
    <row r="29" spans="1:4" ht="101.5" x14ac:dyDescent="0.35">
      <c r="A29" s="16" t="s">
        <v>300</v>
      </c>
      <c r="B29" s="16" t="s">
        <v>391</v>
      </c>
      <c r="C29" s="16" t="s">
        <v>390</v>
      </c>
      <c r="D29" s="16"/>
    </row>
    <row r="30" spans="1:4" ht="145" x14ac:dyDescent="0.35">
      <c r="A30" s="16" t="s">
        <v>301</v>
      </c>
      <c r="B30" s="16" t="s">
        <v>311</v>
      </c>
      <c r="C30" s="16" t="s">
        <v>388</v>
      </c>
      <c r="D30" s="16"/>
    </row>
    <row r="31" spans="1:4" ht="319" x14ac:dyDescent="0.35">
      <c r="A31" s="16" t="s">
        <v>303</v>
      </c>
      <c r="B31" s="16"/>
      <c r="C31" s="16" t="s">
        <v>389</v>
      </c>
      <c r="D31" s="16"/>
    </row>
  </sheetData>
  <mergeCells count="1">
    <mergeCell ref="A5:D19"/>
  </mergeCells>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5" t="s">
        <v>39</v>
      </c>
      <c r="B2" s="8" t="s">
        <v>67</v>
      </c>
      <c r="C2" s="8" t="s">
        <v>68</v>
      </c>
      <c r="D2" s="3" t="s">
        <v>69</v>
      </c>
      <c r="E2" s="8" t="s">
        <v>70</v>
      </c>
      <c r="F2" s="8" t="s">
        <v>71</v>
      </c>
      <c r="G2" s="8" t="s">
        <v>72</v>
      </c>
      <c r="H2" s="8"/>
      <c r="I2" s="8" t="s">
        <v>73</v>
      </c>
      <c r="J2" s="8" t="s">
        <v>23</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31"/>
  <sheetViews>
    <sheetView topLeftCell="A19" workbookViewId="0"/>
  </sheetViews>
  <sheetFormatPr defaultRowHeight="14.5" x14ac:dyDescent="0.35"/>
  <cols>
    <col min="1" max="1" width="14" customWidth="1"/>
    <col min="2" max="2" width="18" customWidth="1"/>
    <col min="3" max="3" width="20.90625" customWidth="1"/>
    <col min="4" max="4" width="32"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25" x14ac:dyDescent="0.35">
      <c r="A2" s="6" t="s">
        <v>74</v>
      </c>
      <c r="B2" s="3" t="s">
        <v>75</v>
      </c>
      <c r="C2" s="8" t="s">
        <v>76</v>
      </c>
      <c r="D2" s="3" t="s">
        <v>77</v>
      </c>
      <c r="E2" s="8" t="s">
        <v>28</v>
      </c>
      <c r="F2" s="8" t="s">
        <v>78</v>
      </c>
      <c r="G2" s="8" t="s">
        <v>79</v>
      </c>
      <c r="H2" s="8" t="s">
        <v>80</v>
      </c>
      <c r="I2" s="8" t="s">
        <v>81</v>
      </c>
      <c r="J2" s="8" t="s">
        <v>82</v>
      </c>
      <c r="K2" s="8" t="s">
        <v>24</v>
      </c>
      <c r="L2" s="8"/>
      <c r="M2" s="8"/>
      <c r="N2" s="8"/>
    </row>
    <row r="5" spans="1:14" x14ac:dyDescent="0.35">
      <c r="A5" s="120" t="s">
        <v>312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ht="29" x14ac:dyDescent="0.35">
      <c r="A23" s="16" t="s">
        <v>294</v>
      </c>
      <c r="B23" s="16" t="s">
        <v>311</v>
      </c>
      <c r="C23" s="16" t="s">
        <v>310</v>
      </c>
    </row>
    <row r="24" spans="1:4" ht="29" x14ac:dyDescent="0.35">
      <c r="A24" s="16" t="s">
        <v>295</v>
      </c>
      <c r="B24" s="16" t="s">
        <v>314</v>
      </c>
      <c r="C24" s="16" t="s">
        <v>315</v>
      </c>
    </row>
    <row r="25" spans="1:4" x14ac:dyDescent="0.35">
      <c r="A25" s="16" t="s">
        <v>296</v>
      </c>
      <c r="B25" s="16" t="s">
        <v>314</v>
      </c>
      <c r="C25" s="16" t="s">
        <v>313</v>
      </c>
    </row>
    <row r="26" spans="1:4" x14ac:dyDescent="0.35">
      <c r="A26" s="16" t="s">
        <v>297</v>
      </c>
      <c r="B26" s="16" t="s">
        <v>314</v>
      </c>
      <c r="C26" s="16" t="s">
        <v>313</v>
      </c>
    </row>
    <row r="27" spans="1:4" ht="29" x14ac:dyDescent="0.35">
      <c r="A27" s="16" t="s">
        <v>298</v>
      </c>
      <c r="B27" s="16" t="s">
        <v>314</v>
      </c>
      <c r="C27" s="16" t="s">
        <v>316</v>
      </c>
    </row>
    <row r="28" spans="1:4" ht="116" x14ac:dyDescent="0.35">
      <c r="A28" s="16" t="s">
        <v>299</v>
      </c>
      <c r="B28" s="16" t="s">
        <v>317</v>
      </c>
      <c r="C28" s="16" t="s">
        <v>318</v>
      </c>
    </row>
    <row r="29" spans="1:4" x14ac:dyDescent="0.35">
      <c r="A29" s="16" t="s">
        <v>300</v>
      </c>
      <c r="B29" s="16" t="s">
        <v>319</v>
      </c>
      <c r="C29" s="16" t="s">
        <v>319</v>
      </c>
    </row>
    <row r="30" spans="1:4" ht="159.5" x14ac:dyDescent="0.35">
      <c r="A30" s="16" t="s">
        <v>301</v>
      </c>
      <c r="B30" s="16" t="s">
        <v>311</v>
      </c>
      <c r="C30" s="16" t="s">
        <v>320</v>
      </c>
    </row>
    <row r="31" spans="1:4" ht="261" x14ac:dyDescent="0.35">
      <c r="A31" s="16" t="s">
        <v>303</v>
      </c>
      <c r="B31" s="16"/>
      <c r="C31" s="16" t="s">
        <v>321</v>
      </c>
    </row>
  </sheetData>
  <mergeCells count="1">
    <mergeCell ref="A5:D19"/>
  </mergeCells>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31"/>
  <sheetViews>
    <sheetView topLeftCell="A25" workbookViewId="0"/>
  </sheetViews>
  <sheetFormatPr defaultRowHeight="14.5" x14ac:dyDescent="0.35"/>
  <cols>
    <col min="1" max="1" width="14" customWidth="1"/>
    <col min="2" max="3" width="18"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2" t="s">
        <v>83</v>
      </c>
      <c r="B2" s="8" t="s">
        <v>84</v>
      </c>
      <c r="C2" s="8" t="s">
        <v>85</v>
      </c>
      <c r="D2" s="8" t="s">
        <v>86</v>
      </c>
      <c r="E2" s="8" t="s">
        <v>28</v>
      </c>
      <c r="F2" s="8"/>
      <c r="G2" s="8" t="s">
        <v>87</v>
      </c>
      <c r="H2" s="8"/>
      <c r="I2" s="8" t="s">
        <v>88</v>
      </c>
      <c r="J2" s="8" t="s">
        <v>23</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c r="E7" t="s">
        <v>324</v>
      </c>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ht="43.5" x14ac:dyDescent="0.35">
      <c r="A23" s="16" t="s">
        <v>294</v>
      </c>
      <c r="B23" s="16" t="s">
        <v>311</v>
      </c>
      <c r="C23" s="16" t="s">
        <v>325</v>
      </c>
    </row>
    <row r="24" spans="1:4" x14ac:dyDescent="0.35">
      <c r="A24" s="16" t="s">
        <v>295</v>
      </c>
      <c r="B24" s="16" t="s">
        <v>314</v>
      </c>
      <c r="C24" s="16" t="s">
        <v>326</v>
      </c>
    </row>
    <row r="25" spans="1:4" ht="72.5" x14ac:dyDescent="0.35">
      <c r="A25" s="16" t="s">
        <v>296</v>
      </c>
      <c r="B25" s="16" t="s">
        <v>314</v>
      </c>
      <c r="C25" s="16" t="s">
        <v>328</v>
      </c>
    </row>
    <row r="26" spans="1:4" ht="72.5" x14ac:dyDescent="0.35">
      <c r="A26" s="16" t="s">
        <v>297</v>
      </c>
      <c r="B26" s="16" t="s">
        <v>314</v>
      </c>
      <c r="C26" s="16" t="s">
        <v>327</v>
      </c>
    </row>
    <row r="27" spans="1:4" hidden="1" x14ac:dyDescent="0.35">
      <c r="A27" s="16" t="s">
        <v>298</v>
      </c>
      <c r="B27" s="16" t="s">
        <v>314</v>
      </c>
      <c r="C27" s="16"/>
    </row>
    <row r="28" spans="1:4" ht="355" customHeight="1" x14ac:dyDescent="0.35">
      <c r="A28" s="16" t="s">
        <v>299</v>
      </c>
      <c r="B28" s="16" t="s">
        <v>311</v>
      </c>
      <c r="C28" s="16" t="s">
        <v>329</v>
      </c>
    </row>
    <row r="29" spans="1:4" ht="130.5" x14ac:dyDescent="0.35">
      <c r="A29" s="16" t="s">
        <v>300</v>
      </c>
      <c r="B29" s="16" t="s">
        <v>314</v>
      </c>
      <c r="C29" s="16" t="s">
        <v>330</v>
      </c>
    </row>
    <row r="30" spans="1:4" ht="182" customHeight="1" x14ac:dyDescent="0.35">
      <c r="A30" s="16" t="s">
        <v>301</v>
      </c>
      <c r="B30" s="16" t="s">
        <v>311</v>
      </c>
      <c r="C30" s="16" t="s">
        <v>331</v>
      </c>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2" t="s">
        <v>83</v>
      </c>
      <c r="B2" s="8" t="s">
        <v>89</v>
      </c>
      <c r="C2" s="8" t="s">
        <v>90</v>
      </c>
      <c r="D2" s="3" t="s">
        <v>91</v>
      </c>
      <c r="E2" s="8" t="s">
        <v>92</v>
      </c>
      <c r="F2" s="8" t="s">
        <v>93</v>
      </c>
      <c r="G2" s="8" t="s">
        <v>94</v>
      </c>
      <c r="H2" s="8"/>
      <c r="I2" s="8" t="s">
        <v>95</v>
      </c>
      <c r="J2" s="8" t="s">
        <v>23</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c r="D23" s="16"/>
    </row>
    <row r="24" spans="1:4" x14ac:dyDescent="0.35">
      <c r="A24" s="16" t="s">
        <v>295</v>
      </c>
      <c r="B24" s="16"/>
      <c r="C24" s="16"/>
      <c r="D24" s="16"/>
    </row>
    <row r="25" spans="1:4" x14ac:dyDescent="0.35">
      <c r="A25" s="16" t="s">
        <v>296</v>
      </c>
      <c r="B25" s="16"/>
      <c r="C25" s="16"/>
      <c r="D25" s="16"/>
    </row>
    <row r="26" spans="1:4" x14ac:dyDescent="0.35">
      <c r="A26" s="16" t="s">
        <v>297</v>
      </c>
      <c r="B26" s="16"/>
      <c r="C26" s="16"/>
      <c r="D26" s="16"/>
    </row>
    <row r="27" spans="1:4" x14ac:dyDescent="0.35">
      <c r="A27" s="16" t="s">
        <v>298</v>
      </c>
      <c r="B27" s="16"/>
      <c r="C27" s="16"/>
      <c r="D27" s="16"/>
    </row>
    <row r="28" spans="1:4" x14ac:dyDescent="0.35">
      <c r="A28" s="16" t="s">
        <v>299</v>
      </c>
      <c r="B28" s="16"/>
      <c r="C28" s="16"/>
      <c r="D28" s="16"/>
    </row>
    <row r="29" spans="1:4" x14ac:dyDescent="0.35">
      <c r="A29" s="16" t="s">
        <v>300</v>
      </c>
      <c r="B29" s="16"/>
      <c r="C29" s="16"/>
      <c r="D29" s="16"/>
    </row>
    <row r="30" spans="1:4" x14ac:dyDescent="0.35">
      <c r="A30" s="16" t="s">
        <v>301</v>
      </c>
      <c r="B30" s="16"/>
      <c r="C30" s="16"/>
      <c r="D30" s="16"/>
    </row>
    <row r="31" spans="1:4" x14ac:dyDescent="0.35">
      <c r="A31" s="16" t="s">
        <v>303</v>
      </c>
      <c r="B31" s="16"/>
      <c r="C31" s="16"/>
      <c r="D31" s="16"/>
    </row>
  </sheetData>
  <mergeCells count="1">
    <mergeCell ref="A5:D19"/>
  </mergeCell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37.5" x14ac:dyDescent="0.35">
      <c r="A2" s="2" t="s">
        <v>83</v>
      </c>
      <c r="B2" s="8" t="s">
        <v>96</v>
      </c>
      <c r="C2" s="8" t="s">
        <v>97</v>
      </c>
      <c r="D2" s="8" t="s">
        <v>98</v>
      </c>
      <c r="E2" s="8" t="s">
        <v>28</v>
      </c>
      <c r="F2" s="14" t="s">
        <v>99</v>
      </c>
      <c r="G2" s="14" t="s">
        <v>100</v>
      </c>
      <c r="H2" s="8"/>
      <c r="I2" s="8" t="s">
        <v>101</v>
      </c>
      <c r="J2" s="8" t="s">
        <v>102</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25" x14ac:dyDescent="0.35">
      <c r="A2" s="2" t="s">
        <v>83</v>
      </c>
      <c r="B2" s="8" t="s">
        <v>103</v>
      </c>
      <c r="C2" s="8" t="s">
        <v>104</v>
      </c>
      <c r="D2" s="3" t="s">
        <v>105</v>
      </c>
      <c r="E2" s="8" t="s">
        <v>106</v>
      </c>
      <c r="F2" s="8" t="s">
        <v>107</v>
      </c>
      <c r="G2" s="3" t="s">
        <v>108</v>
      </c>
      <c r="H2" s="8"/>
      <c r="I2" s="8" t="s">
        <v>109</v>
      </c>
      <c r="J2" s="8" t="s">
        <v>23</v>
      </c>
      <c r="K2" s="8" t="s">
        <v>24</v>
      </c>
      <c r="L2" s="8"/>
      <c r="M2" s="8"/>
      <c r="N2" s="8"/>
    </row>
    <row r="3" spans="1:14" x14ac:dyDescent="0.35">
      <c r="G3" t="s">
        <v>340</v>
      </c>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2" t="s">
        <v>83</v>
      </c>
      <c r="B2" s="3" t="s">
        <v>110</v>
      </c>
      <c r="C2" s="8" t="s">
        <v>111</v>
      </c>
      <c r="D2" s="3" t="s">
        <v>112</v>
      </c>
      <c r="E2" s="8" t="s">
        <v>28</v>
      </c>
      <c r="F2" s="8" t="s">
        <v>113</v>
      </c>
      <c r="G2" s="9" t="s">
        <v>114</v>
      </c>
      <c r="H2" s="8"/>
      <c r="I2" s="8" t="s">
        <v>115</v>
      </c>
      <c r="J2" s="8" t="s">
        <v>116</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ht="43.5" x14ac:dyDescent="0.35">
      <c r="A23" s="16" t="s">
        <v>294</v>
      </c>
      <c r="B23" s="16" t="s">
        <v>311</v>
      </c>
      <c r="C23" s="16" t="s">
        <v>350</v>
      </c>
      <c r="D23" s="16"/>
    </row>
    <row r="24" spans="1:4" ht="43.5" x14ac:dyDescent="0.35">
      <c r="A24" s="16" t="s">
        <v>295</v>
      </c>
      <c r="B24" s="16" t="s">
        <v>311</v>
      </c>
      <c r="C24" s="16" t="s">
        <v>343</v>
      </c>
      <c r="D24" s="16"/>
    </row>
    <row r="25" spans="1:4" ht="72.5" x14ac:dyDescent="0.35">
      <c r="A25" s="16" t="s">
        <v>296</v>
      </c>
      <c r="B25" s="16" t="s">
        <v>314</v>
      </c>
      <c r="C25" s="16" t="s">
        <v>344</v>
      </c>
      <c r="D25" s="16"/>
    </row>
    <row r="26" spans="1:4" ht="116" x14ac:dyDescent="0.35">
      <c r="A26" s="16" t="s">
        <v>297</v>
      </c>
      <c r="B26" s="16" t="s">
        <v>314</v>
      </c>
      <c r="C26" s="16" t="s">
        <v>345</v>
      </c>
      <c r="D26" s="16"/>
    </row>
    <row r="27" spans="1:4" ht="116" x14ac:dyDescent="0.35">
      <c r="A27" s="16" t="s">
        <v>298</v>
      </c>
      <c r="B27" s="16" t="s">
        <v>311</v>
      </c>
      <c r="C27" s="16" t="s">
        <v>342</v>
      </c>
      <c r="D27" s="16"/>
    </row>
    <row r="28" spans="1:4" ht="188.5" x14ac:dyDescent="0.35">
      <c r="A28" s="16" t="s">
        <v>299</v>
      </c>
      <c r="B28" s="16" t="s">
        <v>311</v>
      </c>
      <c r="C28" s="16" t="s">
        <v>346</v>
      </c>
      <c r="D28" s="16"/>
    </row>
    <row r="29" spans="1:4" ht="290" x14ac:dyDescent="0.35">
      <c r="A29" s="16" t="s">
        <v>300</v>
      </c>
      <c r="B29" s="16"/>
      <c r="C29" s="16" t="s">
        <v>347</v>
      </c>
      <c r="D29" s="16"/>
    </row>
    <row r="30" spans="1:4" ht="116" x14ac:dyDescent="0.35">
      <c r="A30" s="16" t="s">
        <v>301</v>
      </c>
      <c r="B30" s="16"/>
      <c r="C30" s="16" t="s">
        <v>348</v>
      </c>
      <c r="D30" s="16"/>
    </row>
    <row r="31" spans="1:4" ht="232" x14ac:dyDescent="0.35">
      <c r="A31" s="16" t="s">
        <v>303</v>
      </c>
      <c r="B31" s="16"/>
      <c r="C31" s="16" t="s">
        <v>349</v>
      </c>
      <c r="D31" s="16"/>
    </row>
  </sheetData>
  <mergeCells count="1">
    <mergeCell ref="A5:D19"/>
  </mergeCell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25" x14ac:dyDescent="0.35">
      <c r="A2" s="2" t="s">
        <v>83</v>
      </c>
      <c r="B2" s="8" t="s">
        <v>117</v>
      </c>
      <c r="C2" s="8" t="s">
        <v>55</v>
      </c>
      <c r="D2" s="3" t="s">
        <v>118</v>
      </c>
      <c r="E2" s="8" t="s">
        <v>119</v>
      </c>
      <c r="F2" s="8"/>
      <c r="G2" s="8" t="s">
        <v>120</v>
      </c>
      <c r="H2" s="8"/>
      <c r="I2" s="8" t="s">
        <v>121</v>
      </c>
      <c r="J2" s="8" t="s">
        <v>122</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32"/>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2" t="s">
        <v>83</v>
      </c>
      <c r="B2" s="3" t="s">
        <v>123</v>
      </c>
      <c r="C2" s="8" t="s">
        <v>124</v>
      </c>
      <c r="D2" s="3" t="s">
        <v>125</v>
      </c>
      <c r="E2" s="8" t="s">
        <v>126</v>
      </c>
      <c r="F2" s="15" t="s">
        <v>127</v>
      </c>
      <c r="G2" s="8" t="s">
        <v>128</v>
      </c>
      <c r="H2" s="8"/>
      <c r="I2" s="8" t="s">
        <v>129</v>
      </c>
      <c r="J2" s="8" t="s">
        <v>130</v>
      </c>
      <c r="K2" s="8" t="s">
        <v>24</v>
      </c>
      <c r="L2" s="8"/>
      <c r="M2" s="8"/>
      <c r="N2" s="8"/>
    </row>
    <row r="6" spans="1:14" x14ac:dyDescent="0.35">
      <c r="A6" s="120" t="s">
        <v>302</v>
      </c>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0" spans="1:4" x14ac:dyDescent="0.35">
      <c r="A20" s="120"/>
      <c r="B20" s="120"/>
      <c r="C20" s="120"/>
      <c r="D20" s="120"/>
    </row>
    <row r="23" spans="1:4" x14ac:dyDescent="0.35">
      <c r="A23" t="s">
        <v>306</v>
      </c>
      <c r="B23" t="s">
        <v>304</v>
      </c>
      <c r="C23" t="s">
        <v>305</v>
      </c>
    </row>
    <row r="24" spans="1:4" x14ac:dyDescent="0.35">
      <c r="A24" s="16" t="s">
        <v>294</v>
      </c>
      <c r="B24" s="16"/>
      <c r="C24" s="16"/>
    </row>
    <row r="25" spans="1:4" x14ac:dyDescent="0.35">
      <c r="A25" s="16" t="s">
        <v>295</v>
      </c>
      <c r="B25" s="16"/>
      <c r="C25" s="16"/>
    </row>
    <row r="26" spans="1:4" x14ac:dyDescent="0.35">
      <c r="A26" s="16" t="s">
        <v>296</v>
      </c>
      <c r="B26" s="16"/>
      <c r="C26" s="16"/>
    </row>
    <row r="27" spans="1:4" x14ac:dyDescent="0.35">
      <c r="A27" s="16" t="s">
        <v>297</v>
      </c>
      <c r="B27" s="16"/>
      <c r="C27" s="16"/>
    </row>
    <row r="28" spans="1:4" x14ac:dyDescent="0.35">
      <c r="A28" s="16" t="s">
        <v>298</v>
      </c>
      <c r="B28" s="16"/>
      <c r="C28" s="16"/>
    </row>
    <row r="29" spans="1:4" x14ac:dyDescent="0.35">
      <c r="A29" s="16" t="s">
        <v>299</v>
      </c>
      <c r="B29" s="16"/>
      <c r="C29" s="16"/>
    </row>
    <row r="30" spans="1:4" x14ac:dyDescent="0.35">
      <c r="A30" s="16" t="s">
        <v>300</v>
      </c>
      <c r="B30" s="16"/>
      <c r="C30" s="16"/>
    </row>
    <row r="31" spans="1:4" x14ac:dyDescent="0.35">
      <c r="A31" s="16" t="s">
        <v>301</v>
      </c>
      <c r="B31" s="16"/>
      <c r="C31" s="16"/>
    </row>
    <row r="32" spans="1:4" x14ac:dyDescent="0.35">
      <c r="A32" s="16" t="s">
        <v>303</v>
      </c>
      <c r="B32" s="16"/>
      <c r="C32" s="16"/>
    </row>
  </sheetData>
  <mergeCells count="1">
    <mergeCell ref="A6:D20"/>
  </mergeCell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112.5" x14ac:dyDescent="0.35">
      <c r="A2" s="4" t="s">
        <v>131</v>
      </c>
      <c r="B2" s="8" t="s">
        <v>132</v>
      </c>
      <c r="C2" s="8" t="s">
        <v>133</v>
      </c>
      <c r="D2" s="8" t="s">
        <v>134</v>
      </c>
      <c r="E2" s="8" t="s">
        <v>135</v>
      </c>
      <c r="F2" s="8" t="s">
        <v>136</v>
      </c>
      <c r="G2" s="8" t="s">
        <v>137</v>
      </c>
      <c r="H2" s="8"/>
      <c r="I2" s="8" t="s">
        <v>138</v>
      </c>
      <c r="J2" s="8" t="s">
        <v>139</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25" x14ac:dyDescent="0.35">
      <c r="A2" s="4" t="s">
        <v>131</v>
      </c>
      <c r="B2" s="8" t="s">
        <v>140</v>
      </c>
      <c r="C2" s="8" t="s">
        <v>141</v>
      </c>
      <c r="D2" s="8" t="s">
        <v>142</v>
      </c>
      <c r="E2" s="8" t="s">
        <v>28</v>
      </c>
      <c r="F2" s="8"/>
      <c r="G2" s="8" t="s">
        <v>143</v>
      </c>
      <c r="H2" s="8"/>
      <c r="I2" s="14" t="s">
        <v>144</v>
      </c>
      <c r="J2" s="8" t="s">
        <v>145</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75" x14ac:dyDescent="0.35">
      <c r="A2" s="4" t="s">
        <v>131</v>
      </c>
      <c r="B2" s="8" t="s">
        <v>146</v>
      </c>
      <c r="C2" s="8" t="s">
        <v>147</v>
      </c>
      <c r="D2" s="8" t="s">
        <v>148</v>
      </c>
      <c r="E2" s="8" t="s">
        <v>92</v>
      </c>
      <c r="F2" s="8" t="s">
        <v>149</v>
      </c>
      <c r="G2" s="8" t="s">
        <v>150</v>
      </c>
      <c r="H2" s="8"/>
      <c r="I2" s="8" t="s">
        <v>151</v>
      </c>
      <c r="J2" s="8" t="s">
        <v>152</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32"/>
  <sheetViews>
    <sheetView topLeftCell="A28" workbookViewId="0">
      <selection activeCell="E27" sqref="E27"/>
    </sheetView>
  </sheetViews>
  <sheetFormatPr defaultRowHeight="14.5" x14ac:dyDescent="0.35"/>
  <cols>
    <col min="1" max="1" width="14" customWidth="1"/>
    <col min="2" max="2" width="18" customWidth="1"/>
    <col min="3" max="3" width="20.7265625" bestFit="1"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5" t="s">
        <v>153</v>
      </c>
      <c r="B2" s="3" t="s">
        <v>154</v>
      </c>
      <c r="C2" s="8" t="s">
        <v>26</v>
      </c>
      <c r="D2" s="3" t="s">
        <v>354</v>
      </c>
      <c r="E2" s="8" t="s">
        <v>28</v>
      </c>
      <c r="F2" s="8"/>
      <c r="G2" s="3" t="s">
        <v>355</v>
      </c>
      <c r="H2" s="8"/>
      <c r="I2" s="8" t="s">
        <v>155</v>
      </c>
      <c r="J2" s="8"/>
      <c r="K2" s="8" t="s">
        <v>24</v>
      </c>
      <c r="L2" s="8"/>
      <c r="M2" s="8"/>
      <c r="N2" s="8"/>
    </row>
    <row r="5" spans="1:14" x14ac:dyDescent="0.35">
      <c r="A5" s="120" t="s">
        <v>302</v>
      </c>
      <c r="B5" s="120"/>
      <c r="C5" s="120"/>
      <c r="D5" s="120"/>
    </row>
    <row r="6" spans="1:14" x14ac:dyDescent="0.35">
      <c r="A6" s="120"/>
      <c r="B6" s="120"/>
      <c r="C6" s="120"/>
      <c r="D6" s="120"/>
      <c r="E6" t="s">
        <v>356</v>
      </c>
    </row>
    <row r="7" spans="1:14" x14ac:dyDescent="0.35">
      <c r="A7" s="120"/>
      <c r="B7" s="120"/>
      <c r="C7" s="120"/>
      <c r="D7" s="120"/>
    </row>
    <row r="8" spans="1:14" x14ac:dyDescent="0.35">
      <c r="A8" s="120"/>
      <c r="B8" s="120"/>
      <c r="C8" s="120"/>
      <c r="D8" s="120"/>
    </row>
    <row r="9" spans="1:14" x14ac:dyDescent="0.35">
      <c r="A9" s="120"/>
      <c r="B9" s="120"/>
      <c r="C9" s="120"/>
      <c r="D9" s="120"/>
      <c r="E9" t="s">
        <v>357</v>
      </c>
    </row>
    <row r="10" spans="1:14" x14ac:dyDescent="0.35">
      <c r="A10" s="120"/>
      <c r="B10" s="120"/>
      <c r="C10" s="120"/>
      <c r="D10" s="120"/>
    </row>
    <row r="11" spans="1:14" x14ac:dyDescent="0.35">
      <c r="A11" s="120"/>
      <c r="B11" s="120"/>
      <c r="C11" s="120"/>
      <c r="D11" s="120"/>
    </row>
    <row r="12" spans="1:14" x14ac:dyDescent="0.35">
      <c r="A12" s="120"/>
      <c r="B12" s="120"/>
      <c r="C12" s="120"/>
      <c r="D12" s="120"/>
      <c r="E12" t="s">
        <v>358</v>
      </c>
    </row>
    <row r="13" spans="1:14" x14ac:dyDescent="0.35">
      <c r="A13" s="120"/>
      <c r="B13" s="120"/>
      <c r="C13" s="120"/>
      <c r="D13" s="120"/>
    </row>
    <row r="14" spans="1:14" x14ac:dyDescent="0.35">
      <c r="A14" s="120"/>
      <c r="B14" s="120"/>
      <c r="C14" s="120"/>
      <c r="D14" s="120"/>
    </row>
    <row r="15" spans="1:14" x14ac:dyDescent="0.35">
      <c r="A15" s="120"/>
      <c r="B15" s="120"/>
      <c r="C15" s="120"/>
      <c r="D15" s="120"/>
      <c r="E15" t="s">
        <v>370</v>
      </c>
    </row>
    <row r="16" spans="1:14" x14ac:dyDescent="0.35">
      <c r="A16" s="120"/>
      <c r="B16" s="120"/>
      <c r="C16" s="120"/>
      <c r="D16" s="120"/>
    </row>
    <row r="17" spans="1:5" x14ac:dyDescent="0.35">
      <c r="A17" s="120"/>
      <c r="B17" s="120"/>
      <c r="C17" s="120"/>
      <c r="D17" s="120"/>
      <c r="E17" t="s">
        <v>359</v>
      </c>
    </row>
    <row r="18" spans="1:5" x14ac:dyDescent="0.35">
      <c r="A18" s="120"/>
      <c r="B18" s="120"/>
      <c r="C18" s="120"/>
      <c r="D18" s="120"/>
    </row>
    <row r="19" spans="1:5" x14ac:dyDescent="0.35">
      <c r="A19" s="120"/>
      <c r="B19" s="120"/>
      <c r="C19" s="120"/>
      <c r="D19" s="120"/>
    </row>
    <row r="20" spans="1:5" x14ac:dyDescent="0.35">
      <c r="E20" t="s">
        <v>360</v>
      </c>
    </row>
    <row r="22" spans="1:5" x14ac:dyDescent="0.35">
      <c r="A22" t="s">
        <v>306</v>
      </c>
      <c r="B22" t="s">
        <v>304</v>
      </c>
      <c r="C22" t="s">
        <v>305</v>
      </c>
      <c r="E22" t="s">
        <v>373</v>
      </c>
    </row>
    <row r="23" spans="1:5" ht="29" x14ac:dyDescent="0.35">
      <c r="A23" s="16" t="s">
        <v>294</v>
      </c>
      <c r="B23" s="16"/>
      <c r="C23" s="16" t="s">
        <v>366</v>
      </c>
    </row>
    <row r="24" spans="1:5" x14ac:dyDescent="0.35">
      <c r="A24" s="16" t="s">
        <v>295</v>
      </c>
      <c r="B24" s="16" t="s">
        <v>367</v>
      </c>
      <c r="C24" s="16" t="s">
        <v>368</v>
      </c>
      <c r="E24" t="s">
        <v>361</v>
      </c>
    </row>
    <row r="25" spans="1:5" ht="217.5" x14ac:dyDescent="0.35">
      <c r="A25" s="16" t="s">
        <v>296</v>
      </c>
      <c r="B25" s="16" t="s">
        <v>369</v>
      </c>
      <c r="C25" s="16" t="s">
        <v>375</v>
      </c>
    </row>
    <row r="26" spans="1:5" ht="29" x14ac:dyDescent="0.35">
      <c r="A26" s="16" t="s">
        <v>297</v>
      </c>
      <c r="B26" s="16" t="s">
        <v>314</v>
      </c>
      <c r="C26" s="16" t="s">
        <v>371</v>
      </c>
      <c r="E26" t="s">
        <v>362</v>
      </c>
    </row>
    <row r="27" spans="1:5" ht="304.5" x14ac:dyDescent="0.35">
      <c r="A27" s="16" t="s">
        <v>298</v>
      </c>
      <c r="B27" s="16" t="s">
        <v>314</v>
      </c>
      <c r="C27" s="16" t="s">
        <v>372</v>
      </c>
    </row>
    <row r="28" spans="1:5" ht="275.5" x14ac:dyDescent="0.35">
      <c r="A28" s="16" t="s">
        <v>299</v>
      </c>
      <c r="B28" s="16"/>
      <c r="C28" s="16" t="s">
        <v>374</v>
      </c>
      <c r="E28" s="16" t="s">
        <v>363</v>
      </c>
    </row>
    <row r="29" spans="1:5" x14ac:dyDescent="0.35">
      <c r="A29" s="16" t="s">
        <v>300</v>
      </c>
      <c r="B29" s="16"/>
      <c r="C29" s="16"/>
    </row>
    <row r="30" spans="1:5" ht="29" x14ac:dyDescent="0.35">
      <c r="A30" s="16" t="s">
        <v>301</v>
      </c>
      <c r="B30" s="16" t="s">
        <v>314</v>
      </c>
      <c r="C30" s="16" t="s">
        <v>376</v>
      </c>
      <c r="E30" t="s">
        <v>364</v>
      </c>
    </row>
    <row r="31" spans="1:5" x14ac:dyDescent="0.35">
      <c r="A31" s="16" t="s">
        <v>303</v>
      </c>
      <c r="B31" s="16"/>
      <c r="C31" s="16"/>
    </row>
    <row r="32" spans="1:5" ht="29" x14ac:dyDescent="0.35">
      <c r="E32" s="16" t="s">
        <v>365</v>
      </c>
    </row>
  </sheetData>
  <mergeCells count="1">
    <mergeCell ref="A5:D19"/>
  </mergeCells>
  <pageMargins left="0.75" right="0.75" top="1" bottom="1" header="0.5" footer="0.5"/>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5" t="s">
        <v>153</v>
      </c>
      <c r="B2" s="8" t="s">
        <v>156</v>
      </c>
      <c r="C2" s="8" t="s">
        <v>157</v>
      </c>
      <c r="D2" s="8" t="s">
        <v>158</v>
      </c>
      <c r="E2" s="8" t="s">
        <v>28</v>
      </c>
      <c r="F2" s="8" t="s">
        <v>159</v>
      </c>
      <c r="G2" s="8" t="s">
        <v>160</v>
      </c>
      <c r="H2" s="8" t="s">
        <v>161</v>
      </c>
      <c r="I2" s="8" t="s">
        <v>162</v>
      </c>
      <c r="J2" s="8" t="s">
        <v>23</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5" t="s">
        <v>153</v>
      </c>
      <c r="B2" s="8" t="s">
        <v>163</v>
      </c>
      <c r="C2" s="8" t="s">
        <v>164</v>
      </c>
      <c r="D2" s="8" t="s">
        <v>165</v>
      </c>
      <c r="E2" s="8" t="s">
        <v>166</v>
      </c>
      <c r="F2" s="8" t="s">
        <v>167</v>
      </c>
      <c r="G2" s="8" t="s">
        <v>168</v>
      </c>
      <c r="H2" s="8"/>
      <c r="I2" s="8" t="s">
        <v>169</v>
      </c>
      <c r="J2" s="8"/>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43.5" x14ac:dyDescent="0.35">
      <c r="A2" s="5" t="s">
        <v>153</v>
      </c>
      <c r="B2" s="8" t="s">
        <v>170</v>
      </c>
      <c r="C2" s="8" t="s">
        <v>171</v>
      </c>
      <c r="D2" s="8" t="s">
        <v>172</v>
      </c>
      <c r="E2" s="8" t="s">
        <v>173</v>
      </c>
      <c r="F2" s="8" t="s">
        <v>174</v>
      </c>
      <c r="G2" s="8" t="s">
        <v>175</v>
      </c>
      <c r="H2" s="8"/>
      <c r="I2" s="15" t="s">
        <v>176</v>
      </c>
      <c r="J2" s="8" t="s">
        <v>177</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31"/>
  <sheetViews>
    <sheetView topLeftCell="A20" workbookViewId="0"/>
  </sheetViews>
  <sheetFormatPr defaultRowHeight="14.5" x14ac:dyDescent="0.35"/>
  <cols>
    <col min="1" max="1" width="14" customWidth="1"/>
    <col min="2" max="2" width="18" customWidth="1"/>
    <col min="3" max="3" width="24.54296875"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25" x14ac:dyDescent="0.35">
      <c r="A2" s="5" t="s">
        <v>153</v>
      </c>
      <c r="B2" s="8" t="s">
        <v>178</v>
      </c>
      <c r="C2" s="8" t="s">
        <v>179</v>
      </c>
      <c r="D2" s="3" t="s">
        <v>465</v>
      </c>
      <c r="E2" s="3" t="s">
        <v>466</v>
      </c>
      <c r="F2" s="3" t="s">
        <v>455</v>
      </c>
      <c r="G2" s="3" t="s">
        <v>467</v>
      </c>
      <c r="H2" s="23" t="s">
        <v>468</v>
      </c>
      <c r="I2" s="8" t="s">
        <v>180</v>
      </c>
      <c r="J2" s="8" t="s">
        <v>23</v>
      </c>
      <c r="K2" s="8" t="s">
        <v>24</v>
      </c>
      <c r="L2" s="8"/>
      <c r="M2" s="8"/>
      <c r="N2" s="8"/>
    </row>
    <row r="3" spans="1:14" x14ac:dyDescent="0.35">
      <c r="E3" t="s">
        <v>469</v>
      </c>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ht="29" x14ac:dyDescent="0.35">
      <c r="A23" s="16" t="s">
        <v>294</v>
      </c>
      <c r="B23" s="16"/>
      <c r="C23" s="16" t="s">
        <v>456</v>
      </c>
      <c r="D23" s="16"/>
    </row>
    <row r="24" spans="1:4" x14ac:dyDescent="0.35">
      <c r="A24" s="16" t="s">
        <v>295</v>
      </c>
      <c r="B24" s="16" t="s">
        <v>311</v>
      </c>
      <c r="C24" s="16" t="s">
        <v>457</v>
      </c>
      <c r="D24" s="16"/>
    </row>
    <row r="25" spans="1:4" x14ac:dyDescent="0.35">
      <c r="A25" s="16" t="s">
        <v>296</v>
      </c>
      <c r="B25" s="16" t="s">
        <v>314</v>
      </c>
      <c r="C25" s="16" t="s">
        <v>458</v>
      </c>
      <c r="D25" s="16"/>
    </row>
    <row r="26" spans="1:4" x14ac:dyDescent="0.35">
      <c r="A26" s="16" t="s">
        <v>297</v>
      </c>
      <c r="B26" s="16" t="s">
        <v>459</v>
      </c>
      <c r="C26" s="16" t="s">
        <v>313</v>
      </c>
      <c r="D26" s="16"/>
    </row>
    <row r="27" spans="1:4" ht="72.5" x14ac:dyDescent="0.35">
      <c r="A27" s="16" t="s">
        <v>298</v>
      </c>
      <c r="B27" s="16" t="s">
        <v>311</v>
      </c>
      <c r="C27" s="16" t="s">
        <v>460</v>
      </c>
      <c r="D27" s="16"/>
    </row>
    <row r="28" spans="1:4" ht="101.5" x14ac:dyDescent="0.35">
      <c r="A28" s="16" t="s">
        <v>299</v>
      </c>
      <c r="B28" s="16" t="s">
        <v>311</v>
      </c>
      <c r="C28" s="16" t="s">
        <v>461</v>
      </c>
      <c r="D28" s="24" t="s">
        <v>471</v>
      </c>
    </row>
    <row r="29" spans="1:4" ht="29" x14ac:dyDescent="0.35">
      <c r="A29" s="16" t="s">
        <v>300</v>
      </c>
      <c r="B29" s="16"/>
      <c r="C29" s="16" t="s">
        <v>462</v>
      </c>
      <c r="D29" s="16"/>
    </row>
    <row r="30" spans="1:4" ht="72.5" x14ac:dyDescent="0.35">
      <c r="A30" s="16" t="s">
        <v>301</v>
      </c>
      <c r="B30" s="16" t="s">
        <v>311</v>
      </c>
      <c r="C30" s="16" t="s">
        <v>463</v>
      </c>
      <c r="D30" s="16"/>
    </row>
    <row r="31" spans="1:4" ht="161.5" customHeight="1" x14ac:dyDescent="0.35">
      <c r="A31" s="16" t="s">
        <v>303</v>
      </c>
      <c r="B31" s="16"/>
      <c r="C31" s="16" t="s">
        <v>464</v>
      </c>
      <c r="D31" s="16"/>
    </row>
  </sheetData>
  <mergeCells count="1">
    <mergeCell ref="A5:D19"/>
  </mergeCells>
  <pageMargins left="0.75" right="0.75" top="1" bottom="1" header="0.5" footer="0.5"/>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31"/>
  <sheetViews>
    <sheetView topLeftCell="A21"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6" t="s">
        <v>181</v>
      </c>
      <c r="B2" s="8" t="s">
        <v>182</v>
      </c>
      <c r="C2" s="8" t="s">
        <v>183</v>
      </c>
      <c r="D2" s="8" t="s">
        <v>184</v>
      </c>
      <c r="E2" s="8" t="s">
        <v>28</v>
      </c>
      <c r="F2" s="8" t="s">
        <v>185</v>
      </c>
      <c r="G2" s="8" t="s">
        <v>186</v>
      </c>
      <c r="H2" s="8"/>
      <c r="I2" s="8" t="s">
        <v>187</v>
      </c>
      <c r="J2" s="8" t="s">
        <v>23</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t="s">
        <v>311</v>
      </c>
      <c r="C23" s="16"/>
    </row>
    <row r="24" spans="1:4" x14ac:dyDescent="0.35">
      <c r="A24" s="16" t="s">
        <v>295</v>
      </c>
      <c r="B24" s="16" t="s">
        <v>314</v>
      </c>
      <c r="C24" s="16"/>
    </row>
    <row r="25" spans="1:4" x14ac:dyDescent="0.35">
      <c r="A25" s="16" t="s">
        <v>296</v>
      </c>
      <c r="B25" s="16" t="s">
        <v>314</v>
      </c>
      <c r="C25" s="16"/>
    </row>
    <row r="26" spans="1:4" x14ac:dyDescent="0.35">
      <c r="A26" s="16" t="s">
        <v>297</v>
      </c>
      <c r="B26" s="16" t="s">
        <v>314</v>
      </c>
      <c r="C26" s="16"/>
    </row>
    <row r="27" spans="1:4" ht="58" x14ac:dyDescent="0.35">
      <c r="A27" s="16" t="s">
        <v>298</v>
      </c>
      <c r="B27" s="16" t="s">
        <v>311</v>
      </c>
      <c r="C27" s="16" t="s">
        <v>380</v>
      </c>
    </row>
    <row r="28" spans="1:4" ht="188.5" x14ac:dyDescent="0.35">
      <c r="A28" s="16" t="s">
        <v>299</v>
      </c>
      <c r="B28" s="16" t="s">
        <v>311</v>
      </c>
      <c r="C28" s="16" t="s">
        <v>381</v>
      </c>
    </row>
    <row r="29" spans="1:4" x14ac:dyDescent="0.35">
      <c r="A29" s="16" t="s">
        <v>300</v>
      </c>
      <c r="B29" s="16" t="s">
        <v>314</v>
      </c>
      <c r="C29" s="16"/>
    </row>
    <row r="30" spans="1:4" ht="58" x14ac:dyDescent="0.35">
      <c r="A30" s="16" t="s">
        <v>301</v>
      </c>
      <c r="B30" s="16" t="s">
        <v>311</v>
      </c>
      <c r="C30" s="16" t="s">
        <v>378</v>
      </c>
    </row>
    <row r="31" spans="1:4" ht="29" x14ac:dyDescent="0.35">
      <c r="A31" s="16" t="s">
        <v>303</v>
      </c>
      <c r="B31" s="16"/>
      <c r="C31" s="16" t="s">
        <v>379</v>
      </c>
    </row>
  </sheetData>
  <mergeCells count="1">
    <mergeCell ref="A5:D19"/>
  </mergeCells>
  <pageMargins left="0.75" right="0.75" top="1" bottom="1" header="0.5" footer="0.5"/>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6" t="s">
        <v>181</v>
      </c>
      <c r="B2" s="8" t="s">
        <v>188</v>
      </c>
      <c r="C2" s="8" t="s">
        <v>189</v>
      </c>
      <c r="D2" s="8" t="s">
        <v>190</v>
      </c>
      <c r="E2" s="8" t="s">
        <v>70</v>
      </c>
      <c r="F2" s="7" t="s">
        <v>395</v>
      </c>
      <c r="G2" s="3" t="s">
        <v>191</v>
      </c>
      <c r="H2" s="8"/>
      <c r="I2" s="8" t="s">
        <v>192</v>
      </c>
      <c r="J2" s="8" t="s">
        <v>23</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hyperlinks>
    <hyperlink ref="F2" r:id="rId1" xr:uid="{448021AF-2B96-41D6-AADA-FCC8C2C12E45}"/>
  </hyperlinks>
  <pageMargins left="0.75" right="0.75" top="1" bottom="1" header="0.5" footer="0.5"/>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37.5" x14ac:dyDescent="0.35">
      <c r="A2" s="6" t="s">
        <v>181</v>
      </c>
      <c r="B2" s="8" t="s">
        <v>193</v>
      </c>
      <c r="C2" s="8" t="s">
        <v>194</v>
      </c>
      <c r="D2" s="8" t="s">
        <v>195</v>
      </c>
      <c r="E2" s="8" t="s">
        <v>28</v>
      </c>
      <c r="F2" s="15" t="s">
        <v>196</v>
      </c>
      <c r="G2" s="8" t="s">
        <v>197</v>
      </c>
      <c r="H2" s="8" t="s">
        <v>198</v>
      </c>
      <c r="I2" s="8" t="s">
        <v>199</v>
      </c>
      <c r="J2" s="8" t="s">
        <v>200</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6" t="s">
        <v>181</v>
      </c>
      <c r="B2" s="3" t="s">
        <v>201</v>
      </c>
      <c r="C2" s="8" t="s">
        <v>26</v>
      </c>
      <c r="D2" s="3" t="s">
        <v>202</v>
      </c>
      <c r="E2" s="8" t="s">
        <v>203</v>
      </c>
      <c r="F2" s="8" t="s">
        <v>204</v>
      </c>
      <c r="G2" s="8" t="s">
        <v>205</v>
      </c>
      <c r="H2" s="8"/>
      <c r="I2" s="8" t="s">
        <v>206</v>
      </c>
      <c r="J2" s="8" t="s">
        <v>23</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ht="29" x14ac:dyDescent="0.35">
      <c r="A23" s="16" t="s">
        <v>294</v>
      </c>
      <c r="B23" s="16"/>
      <c r="C23" s="16" t="s">
        <v>397</v>
      </c>
    </row>
    <row r="24" spans="1:4" ht="58" x14ac:dyDescent="0.35">
      <c r="A24" s="16" t="s">
        <v>295</v>
      </c>
      <c r="B24" s="16" t="s">
        <v>311</v>
      </c>
      <c r="C24" s="16" t="s">
        <v>398</v>
      </c>
    </row>
    <row r="25" spans="1:4" x14ac:dyDescent="0.35">
      <c r="A25" s="16" t="s">
        <v>296</v>
      </c>
      <c r="B25" s="16" t="s">
        <v>314</v>
      </c>
      <c r="C25" s="16" t="s">
        <v>313</v>
      </c>
    </row>
    <row r="26" spans="1:4" ht="58" x14ac:dyDescent="0.35">
      <c r="A26" s="16" t="s">
        <v>297</v>
      </c>
      <c r="B26" s="16" t="s">
        <v>314</v>
      </c>
      <c r="C26" s="16" t="s">
        <v>399</v>
      </c>
    </row>
    <row r="27" spans="1:4" ht="87" x14ac:dyDescent="0.35">
      <c r="A27" s="16" t="s">
        <v>298</v>
      </c>
      <c r="B27" s="16" t="s">
        <v>314</v>
      </c>
      <c r="C27" s="16" t="s">
        <v>400</v>
      </c>
    </row>
    <row r="28" spans="1:4" ht="101.5" x14ac:dyDescent="0.35">
      <c r="A28" s="16" t="s">
        <v>299</v>
      </c>
      <c r="B28" s="16" t="s">
        <v>311</v>
      </c>
      <c r="C28" s="16" t="s">
        <v>403</v>
      </c>
    </row>
    <row r="29" spans="1:4" x14ac:dyDescent="0.35">
      <c r="A29" s="16" t="s">
        <v>300</v>
      </c>
      <c r="B29" s="16" t="s">
        <v>314</v>
      </c>
      <c r="C29" s="16" t="s">
        <v>402</v>
      </c>
    </row>
    <row r="30" spans="1:4" ht="72.5" x14ac:dyDescent="0.35">
      <c r="A30" s="16" t="s">
        <v>301</v>
      </c>
      <c r="B30" s="16" t="s">
        <v>311</v>
      </c>
      <c r="C30" s="16" t="s">
        <v>401</v>
      </c>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32"/>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6" t="s">
        <v>181</v>
      </c>
      <c r="B2" s="8" t="s">
        <v>207</v>
      </c>
      <c r="C2" s="8" t="s">
        <v>157</v>
      </c>
      <c r="D2" s="8" t="s">
        <v>208</v>
      </c>
      <c r="E2" s="8" t="s">
        <v>209</v>
      </c>
      <c r="F2" s="8" t="s">
        <v>210</v>
      </c>
      <c r="G2" s="8" t="s">
        <v>211</v>
      </c>
      <c r="H2" s="8"/>
      <c r="I2" s="8" t="s">
        <v>212</v>
      </c>
      <c r="J2" s="8" t="s">
        <v>23</v>
      </c>
      <c r="K2" s="8" t="s">
        <v>24</v>
      </c>
      <c r="L2" s="8"/>
      <c r="M2" s="8"/>
      <c r="N2" s="8"/>
    </row>
    <row r="6" spans="1:14" x14ac:dyDescent="0.35">
      <c r="A6" s="120" t="s">
        <v>302</v>
      </c>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0" spans="1:4" x14ac:dyDescent="0.35">
      <c r="A20" s="120"/>
      <c r="B20" s="120"/>
      <c r="C20" s="120"/>
      <c r="D20" s="120"/>
    </row>
    <row r="23" spans="1:4" x14ac:dyDescent="0.35">
      <c r="A23" t="s">
        <v>306</v>
      </c>
      <c r="B23" t="s">
        <v>304</v>
      </c>
      <c r="C23" t="s">
        <v>305</v>
      </c>
    </row>
    <row r="24" spans="1:4" ht="29" x14ac:dyDescent="0.35">
      <c r="A24" s="16" t="s">
        <v>294</v>
      </c>
      <c r="B24" s="16"/>
      <c r="C24" s="16" t="s">
        <v>415</v>
      </c>
    </row>
    <row r="25" spans="1:4" ht="29" x14ac:dyDescent="0.35">
      <c r="A25" s="16" t="s">
        <v>295</v>
      </c>
      <c r="B25" s="16" t="s">
        <v>314</v>
      </c>
      <c r="C25" s="16" t="s">
        <v>416</v>
      </c>
    </row>
    <row r="26" spans="1:4" ht="174" x14ac:dyDescent="0.35">
      <c r="A26" s="16" t="s">
        <v>296</v>
      </c>
      <c r="B26" s="16" t="s">
        <v>314</v>
      </c>
      <c r="C26" s="16" t="s">
        <v>417</v>
      </c>
    </row>
    <row r="27" spans="1:4" ht="174" x14ac:dyDescent="0.35">
      <c r="A27" s="16" t="s">
        <v>297</v>
      </c>
      <c r="B27" s="16" t="s">
        <v>314</v>
      </c>
      <c r="C27" s="16" t="s">
        <v>418</v>
      </c>
    </row>
    <row r="28" spans="1:4" x14ac:dyDescent="0.35">
      <c r="A28" s="16" t="s">
        <v>298</v>
      </c>
      <c r="B28" s="16" t="s">
        <v>314</v>
      </c>
      <c r="C28" s="16" t="s">
        <v>419</v>
      </c>
    </row>
    <row r="29" spans="1:4" ht="58" x14ac:dyDescent="0.35">
      <c r="A29" s="16" t="s">
        <v>299</v>
      </c>
      <c r="B29" s="16" t="s">
        <v>311</v>
      </c>
      <c r="C29" s="16" t="s">
        <v>420</v>
      </c>
    </row>
    <row r="30" spans="1:4" ht="145" x14ac:dyDescent="0.35">
      <c r="A30" s="16" t="s">
        <v>300</v>
      </c>
      <c r="B30" s="16" t="s">
        <v>311</v>
      </c>
      <c r="C30" s="16" t="s">
        <v>421</v>
      </c>
    </row>
    <row r="31" spans="1:4" ht="217.5" x14ac:dyDescent="0.35">
      <c r="A31" s="16" t="s">
        <v>301</v>
      </c>
      <c r="B31" s="16" t="s">
        <v>422</v>
      </c>
      <c r="C31" s="16" t="s">
        <v>423</v>
      </c>
    </row>
    <row r="32" spans="1:4" x14ac:dyDescent="0.35">
      <c r="A32" s="16" t="s">
        <v>303</v>
      </c>
      <c r="B32" s="16"/>
      <c r="C32" s="16"/>
    </row>
  </sheetData>
  <mergeCells count="1">
    <mergeCell ref="A6:D20"/>
  </mergeCells>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31"/>
  <sheetViews>
    <sheetView topLeftCell="A18" workbookViewId="0"/>
  </sheetViews>
  <sheetFormatPr defaultRowHeight="14.5" x14ac:dyDescent="0.35"/>
  <cols>
    <col min="1" max="1" width="14" customWidth="1"/>
    <col min="2" max="2" width="18" customWidth="1"/>
    <col min="3" max="3" width="20.7265625" bestFit="1"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6" t="s">
        <v>181</v>
      </c>
      <c r="B2" s="8" t="s">
        <v>213</v>
      </c>
      <c r="C2" s="8" t="s">
        <v>171</v>
      </c>
      <c r="D2" s="8" t="s">
        <v>214</v>
      </c>
      <c r="E2" s="3" t="s">
        <v>518</v>
      </c>
      <c r="F2" s="8" t="s">
        <v>216</v>
      </c>
      <c r="G2" s="21" t="s">
        <v>509</v>
      </c>
      <c r="H2" s="8" t="s">
        <v>217</v>
      </c>
      <c r="I2" s="8" t="s">
        <v>218</v>
      </c>
      <c r="J2" s="8" t="s">
        <v>23</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t="s">
        <v>311</v>
      </c>
      <c r="C23" s="16" t="s">
        <v>517</v>
      </c>
    </row>
    <row r="24" spans="1:4" ht="29" x14ac:dyDescent="0.35">
      <c r="A24" s="16" t="s">
        <v>295</v>
      </c>
      <c r="B24" s="16" t="s">
        <v>311</v>
      </c>
      <c r="C24" s="16" t="s">
        <v>511</v>
      </c>
    </row>
    <row r="25" spans="1:4" ht="43.5" x14ac:dyDescent="0.35">
      <c r="A25" s="16" t="s">
        <v>296</v>
      </c>
      <c r="B25" s="16" t="s">
        <v>314</v>
      </c>
      <c r="C25" s="16" t="s">
        <v>516</v>
      </c>
    </row>
    <row r="26" spans="1:4" x14ac:dyDescent="0.35">
      <c r="A26" s="16" t="s">
        <v>297</v>
      </c>
      <c r="B26" s="16" t="s">
        <v>314</v>
      </c>
      <c r="C26" s="16" t="s">
        <v>481</v>
      </c>
    </row>
    <row r="27" spans="1:4" ht="29" x14ac:dyDescent="0.35">
      <c r="A27" s="16" t="s">
        <v>298</v>
      </c>
      <c r="B27" s="16" t="s">
        <v>311</v>
      </c>
      <c r="C27" s="16" t="s">
        <v>510</v>
      </c>
    </row>
    <row r="28" spans="1:4" ht="232" x14ac:dyDescent="0.35">
      <c r="A28" s="16" t="s">
        <v>299</v>
      </c>
      <c r="B28" s="16" t="s">
        <v>311</v>
      </c>
      <c r="C28" s="16" t="s">
        <v>512</v>
      </c>
    </row>
    <row r="29" spans="1:4" x14ac:dyDescent="0.35">
      <c r="A29" s="16" t="s">
        <v>300</v>
      </c>
      <c r="B29" s="16" t="s">
        <v>319</v>
      </c>
      <c r="C29" s="16" t="s">
        <v>319</v>
      </c>
    </row>
    <row r="30" spans="1:4" ht="203" x14ac:dyDescent="0.35">
      <c r="A30" s="16" t="s">
        <v>301</v>
      </c>
      <c r="B30" s="16" t="s">
        <v>311</v>
      </c>
      <c r="C30" s="16" t="s">
        <v>513</v>
      </c>
    </row>
    <row r="31" spans="1:4" x14ac:dyDescent="0.35">
      <c r="A31" s="16" t="s">
        <v>303</v>
      </c>
      <c r="B31" s="16"/>
      <c r="C31" s="16" t="s">
        <v>514</v>
      </c>
    </row>
  </sheetData>
  <mergeCells count="1">
    <mergeCell ref="A5:D19"/>
  </mergeCells>
  <pageMargins left="0.75" right="0.75" top="1" bottom="1" header="0.5" footer="0.5"/>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N32"/>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6" t="s">
        <v>181</v>
      </c>
      <c r="B2" s="8" t="s">
        <v>219</v>
      </c>
      <c r="C2" s="8" t="s">
        <v>157</v>
      </c>
      <c r="D2" s="8" t="s">
        <v>220</v>
      </c>
      <c r="E2" s="8" t="s">
        <v>221</v>
      </c>
      <c r="F2" s="8" t="s">
        <v>222</v>
      </c>
      <c r="G2" s="8"/>
      <c r="H2" s="8"/>
      <c r="I2" s="8" t="s">
        <v>223</v>
      </c>
      <c r="J2" s="8" t="s">
        <v>23</v>
      </c>
      <c r="K2" s="8" t="s">
        <v>24</v>
      </c>
      <c r="L2" s="8"/>
      <c r="M2" s="8"/>
      <c r="N2" s="8"/>
    </row>
    <row r="6" spans="1:14" x14ac:dyDescent="0.35">
      <c r="A6" s="120" t="s">
        <v>302</v>
      </c>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0" spans="1:4" x14ac:dyDescent="0.35">
      <c r="A20" s="120"/>
      <c r="B20" s="120"/>
      <c r="C20" s="120"/>
      <c r="D20" s="120"/>
    </row>
    <row r="23" spans="1:4" x14ac:dyDescent="0.35">
      <c r="A23" t="s">
        <v>306</v>
      </c>
      <c r="B23" t="s">
        <v>304</v>
      </c>
      <c r="C23" t="s">
        <v>305</v>
      </c>
    </row>
    <row r="24" spans="1:4" x14ac:dyDescent="0.35">
      <c r="A24" s="16" t="s">
        <v>294</v>
      </c>
      <c r="B24" s="16"/>
      <c r="C24" s="16"/>
    </row>
    <row r="25" spans="1:4" x14ac:dyDescent="0.35">
      <c r="A25" s="16" t="s">
        <v>295</v>
      </c>
      <c r="B25" s="16"/>
      <c r="C25" s="16"/>
    </row>
    <row r="26" spans="1:4" x14ac:dyDescent="0.35">
      <c r="A26" s="16" t="s">
        <v>296</v>
      </c>
      <c r="B26" s="16"/>
      <c r="C26" s="16"/>
    </row>
    <row r="27" spans="1:4" x14ac:dyDescent="0.35">
      <c r="A27" s="16" t="s">
        <v>297</v>
      </c>
      <c r="B27" s="16"/>
      <c r="C27" s="16"/>
    </row>
    <row r="28" spans="1:4" x14ac:dyDescent="0.35">
      <c r="A28" s="16" t="s">
        <v>298</v>
      </c>
      <c r="B28" s="16"/>
      <c r="C28" s="16"/>
    </row>
    <row r="29" spans="1:4" x14ac:dyDescent="0.35">
      <c r="A29" s="16" t="s">
        <v>299</v>
      </c>
      <c r="B29" s="16"/>
      <c r="C29" s="16"/>
    </row>
    <row r="30" spans="1:4" x14ac:dyDescent="0.35">
      <c r="A30" s="16" t="s">
        <v>300</v>
      </c>
      <c r="B30" s="16"/>
      <c r="C30" s="16"/>
    </row>
    <row r="31" spans="1:4" x14ac:dyDescent="0.35">
      <c r="A31" s="16" t="s">
        <v>301</v>
      </c>
      <c r="B31" s="16"/>
      <c r="C31" s="16"/>
    </row>
    <row r="32" spans="1:4" x14ac:dyDescent="0.35">
      <c r="A32" s="16" t="s">
        <v>303</v>
      </c>
      <c r="B32" s="16"/>
      <c r="C32" s="16"/>
    </row>
  </sheetData>
  <mergeCells count="1">
    <mergeCell ref="A6:D20"/>
  </mergeCells>
  <pageMargins left="0.75" right="0.75" top="1" bottom="1" header="0.5" footer="0.5"/>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25" x14ac:dyDescent="0.35">
      <c r="A2" s="6" t="s">
        <v>181</v>
      </c>
      <c r="B2" s="8" t="s">
        <v>224</v>
      </c>
      <c r="C2" s="8" t="s">
        <v>225</v>
      </c>
      <c r="D2" s="3" t="s">
        <v>445</v>
      </c>
      <c r="E2" s="8" t="s">
        <v>92</v>
      </c>
      <c r="F2" s="8" t="s">
        <v>226</v>
      </c>
      <c r="G2" t="s">
        <v>426</v>
      </c>
      <c r="H2" s="8" t="s">
        <v>227</v>
      </c>
      <c r="I2" s="8" t="s">
        <v>228</v>
      </c>
      <c r="J2" s="8" t="s">
        <v>229</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ht="43.5" x14ac:dyDescent="0.35">
      <c r="A23" s="16" t="s">
        <v>294</v>
      </c>
      <c r="B23" s="16"/>
      <c r="C23" s="16" t="s">
        <v>437</v>
      </c>
    </row>
    <row r="24" spans="1:4" ht="29" x14ac:dyDescent="0.35">
      <c r="A24" s="16" t="s">
        <v>295</v>
      </c>
      <c r="B24" s="16" t="s">
        <v>314</v>
      </c>
      <c r="C24" s="16" t="s">
        <v>438</v>
      </c>
    </row>
    <row r="25" spans="1:4" ht="29" x14ac:dyDescent="0.35">
      <c r="A25" s="16" t="s">
        <v>296</v>
      </c>
      <c r="B25" s="16" t="s">
        <v>311</v>
      </c>
      <c r="C25" s="16" t="s">
        <v>439</v>
      </c>
    </row>
    <row r="26" spans="1:4" ht="58" x14ac:dyDescent="0.35">
      <c r="A26" s="16" t="s">
        <v>297</v>
      </c>
      <c r="B26" s="16" t="s">
        <v>314</v>
      </c>
      <c r="C26" s="16" t="s">
        <v>440</v>
      </c>
    </row>
    <row r="27" spans="1:4" ht="217.5" x14ac:dyDescent="0.35">
      <c r="A27" s="16" t="s">
        <v>298</v>
      </c>
      <c r="B27" s="16" t="s">
        <v>311</v>
      </c>
      <c r="C27" s="16" t="s">
        <v>441</v>
      </c>
    </row>
    <row r="28" spans="1:4" ht="246.5" x14ac:dyDescent="0.35">
      <c r="A28" s="16" t="s">
        <v>299</v>
      </c>
      <c r="B28" s="16"/>
      <c r="C28" s="16" t="s">
        <v>442</v>
      </c>
    </row>
    <row r="29" spans="1:4" ht="29" x14ac:dyDescent="0.35">
      <c r="A29" s="16" t="s">
        <v>300</v>
      </c>
      <c r="B29" s="16"/>
      <c r="C29" s="16" t="s">
        <v>443</v>
      </c>
    </row>
    <row r="30" spans="1:4" ht="87" x14ac:dyDescent="0.35">
      <c r="A30" s="16" t="s">
        <v>301</v>
      </c>
      <c r="B30" s="16" t="s">
        <v>311</v>
      </c>
      <c r="C30" s="16" t="s">
        <v>444</v>
      </c>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N31"/>
  <sheetViews>
    <sheetView workbookViewId="0">
      <selection activeCell="C31" sqref="C31"/>
    </sheetView>
  </sheetViews>
  <sheetFormatPr defaultRowHeight="14.5" x14ac:dyDescent="0.35"/>
  <cols>
    <col min="1" max="1" width="14" customWidth="1"/>
    <col min="2" max="2" width="18" customWidth="1"/>
    <col min="3" max="3" width="21.81640625" customWidth="1"/>
    <col min="4" max="4" width="17.08984375" bestFit="1"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62.5" x14ac:dyDescent="0.35">
      <c r="A2" s="2" t="s">
        <v>230</v>
      </c>
      <c r="B2" s="8" t="s">
        <v>231</v>
      </c>
      <c r="C2" s="8"/>
      <c r="D2" s="8" t="s">
        <v>232</v>
      </c>
      <c r="E2" s="8" t="s">
        <v>233</v>
      </c>
      <c r="F2" s="15" t="s">
        <v>234</v>
      </c>
      <c r="G2" s="14" t="s">
        <v>235</v>
      </c>
      <c r="H2" s="8" t="s">
        <v>236</v>
      </c>
      <c r="I2" s="8" t="s">
        <v>237</v>
      </c>
      <c r="J2" s="8" t="s">
        <v>23</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8" x14ac:dyDescent="0.35">
      <c r="A17" s="120"/>
      <c r="B17" s="120"/>
      <c r="C17" s="120"/>
      <c r="D17" s="120"/>
    </row>
    <row r="18" spans="1:8" x14ac:dyDescent="0.35">
      <c r="A18" s="120"/>
      <c r="B18" s="120"/>
      <c r="C18" s="120"/>
      <c r="D18" s="120"/>
    </row>
    <row r="19" spans="1:8" x14ac:dyDescent="0.35">
      <c r="A19" s="120"/>
      <c r="B19" s="120"/>
      <c r="C19" s="120"/>
      <c r="D19" s="120"/>
    </row>
    <row r="20" spans="1:8" x14ac:dyDescent="0.35">
      <c r="F20" t="s">
        <v>521</v>
      </c>
    </row>
    <row r="21" spans="1:8" x14ac:dyDescent="0.35">
      <c r="A21" t="s">
        <v>522</v>
      </c>
    </row>
    <row r="22" spans="1:8" x14ac:dyDescent="0.35">
      <c r="A22" t="s">
        <v>306</v>
      </c>
      <c r="B22" t="s">
        <v>304</v>
      </c>
      <c r="C22" t="s">
        <v>305</v>
      </c>
      <c r="D22" t="s">
        <v>333</v>
      </c>
      <c r="F22" t="s">
        <v>306</v>
      </c>
      <c r="G22" t="s">
        <v>304</v>
      </c>
      <c r="H22" t="s">
        <v>305</v>
      </c>
    </row>
    <row r="23" spans="1:8" x14ac:dyDescent="0.35">
      <c r="A23" s="16" t="s">
        <v>294</v>
      </c>
      <c r="B23" s="16"/>
      <c r="C23" s="16" t="s">
        <v>523</v>
      </c>
      <c r="D23" s="16"/>
      <c r="F23" s="16" t="s">
        <v>294</v>
      </c>
      <c r="G23" s="16"/>
      <c r="H23" s="16"/>
    </row>
    <row r="24" spans="1:8" ht="29" x14ac:dyDescent="0.35">
      <c r="A24" s="16" t="s">
        <v>295</v>
      </c>
      <c r="B24" s="16"/>
      <c r="C24" s="16" t="s">
        <v>524</v>
      </c>
      <c r="D24" s="16" t="s">
        <v>525</v>
      </c>
      <c r="F24" s="16" t="s">
        <v>295</v>
      </c>
      <c r="G24" s="16"/>
      <c r="H24" s="16"/>
    </row>
    <row r="25" spans="1:8" ht="29" x14ac:dyDescent="0.35">
      <c r="A25" s="16" t="s">
        <v>296</v>
      </c>
      <c r="B25" s="16"/>
      <c r="C25" s="16" t="s">
        <v>526</v>
      </c>
      <c r="D25" s="16"/>
      <c r="F25" s="16" t="s">
        <v>296</v>
      </c>
      <c r="G25" s="16"/>
      <c r="H25" s="16"/>
    </row>
    <row r="26" spans="1:8" x14ac:dyDescent="0.35">
      <c r="A26" s="16" t="s">
        <v>297</v>
      </c>
      <c r="B26" s="16"/>
      <c r="C26" s="16" t="s">
        <v>481</v>
      </c>
      <c r="D26" s="16"/>
      <c r="F26" s="16" t="s">
        <v>297</v>
      </c>
      <c r="G26" s="16"/>
      <c r="H26" s="16"/>
    </row>
    <row r="27" spans="1:8" ht="43.5" x14ac:dyDescent="0.35">
      <c r="A27" s="16" t="s">
        <v>298</v>
      </c>
      <c r="B27" s="16"/>
      <c r="C27" s="16" t="s">
        <v>527</v>
      </c>
      <c r="D27" s="16"/>
      <c r="F27" s="16" t="s">
        <v>298</v>
      </c>
      <c r="G27" s="16"/>
      <c r="H27" s="16"/>
    </row>
    <row r="28" spans="1:8" ht="58" x14ac:dyDescent="0.35">
      <c r="A28" s="16" t="s">
        <v>299</v>
      </c>
      <c r="B28" s="16"/>
      <c r="C28" s="16" t="s">
        <v>528</v>
      </c>
      <c r="D28" s="16"/>
      <c r="F28" s="16" t="s">
        <v>299</v>
      </c>
      <c r="G28" s="16"/>
      <c r="H28" s="16"/>
    </row>
    <row r="29" spans="1:8" ht="101.5" x14ac:dyDescent="0.35">
      <c r="A29" s="16" t="s">
        <v>300</v>
      </c>
      <c r="B29" s="16"/>
      <c r="C29" s="16" t="s">
        <v>529</v>
      </c>
      <c r="D29" s="16"/>
      <c r="F29" s="16" t="s">
        <v>300</v>
      </c>
      <c r="G29" s="16"/>
      <c r="H29" s="16"/>
    </row>
    <row r="30" spans="1:8" ht="72.5" x14ac:dyDescent="0.35">
      <c r="A30" s="16" t="s">
        <v>301</v>
      </c>
      <c r="B30" s="16"/>
      <c r="C30" s="16" t="s">
        <v>530</v>
      </c>
      <c r="D30" s="16"/>
      <c r="F30" s="16" t="s">
        <v>301</v>
      </c>
      <c r="G30" s="16"/>
      <c r="H30" s="16"/>
    </row>
    <row r="31" spans="1:8" ht="261" x14ac:dyDescent="0.35">
      <c r="A31" s="16" t="s">
        <v>303</v>
      </c>
      <c r="B31" s="16"/>
      <c r="C31" s="16" t="s">
        <v>531</v>
      </c>
      <c r="D31" s="16"/>
      <c r="F31" s="16" t="s">
        <v>303</v>
      </c>
      <c r="G31" s="16"/>
      <c r="H31" s="16" t="s">
        <v>436</v>
      </c>
    </row>
  </sheetData>
  <mergeCells count="1">
    <mergeCell ref="A5:D19"/>
  </mergeCells>
  <pageMargins left="0.75" right="0.75" top="1" bottom="1" header="0.5" footer="0.5"/>
  <tableParts count="2">
    <tablePart r:id="rId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N31"/>
  <sheetViews>
    <sheetView workbookViewId="0">
      <selection activeCell="E31" sqref="E31"/>
    </sheetView>
  </sheetViews>
  <sheetFormatPr defaultRowHeight="14.5" x14ac:dyDescent="0.35"/>
  <cols>
    <col min="1" max="1" width="14" customWidth="1"/>
    <col min="2" max="2" width="18" customWidth="1"/>
    <col min="3" max="3" width="5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25" x14ac:dyDescent="0.35">
      <c r="A2" s="2" t="s">
        <v>230</v>
      </c>
      <c r="B2" s="3" t="s">
        <v>238</v>
      </c>
      <c r="C2" s="8" t="s">
        <v>124</v>
      </c>
      <c r="D2" s="3" t="s">
        <v>427</v>
      </c>
      <c r="E2" s="8" t="s">
        <v>28</v>
      </c>
      <c r="F2" s="8"/>
      <c r="G2" s="21" t="s">
        <v>428</v>
      </c>
      <c r="H2" s="8" t="s">
        <v>239</v>
      </c>
      <c r="I2" s="8" t="s">
        <v>240</v>
      </c>
      <c r="J2" s="8" t="s">
        <v>229</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t="s">
        <v>311</v>
      </c>
      <c r="C23" s="16" t="s">
        <v>674</v>
      </c>
    </row>
    <row r="24" spans="1:4" ht="43.5" x14ac:dyDescent="0.35">
      <c r="A24" s="16" t="s">
        <v>295</v>
      </c>
      <c r="B24" s="16" t="s">
        <v>314</v>
      </c>
      <c r="C24" s="16" t="s">
        <v>675</v>
      </c>
    </row>
    <row r="25" spans="1:4" x14ac:dyDescent="0.35">
      <c r="A25" s="16" t="s">
        <v>296</v>
      </c>
      <c r="B25" s="16" t="s">
        <v>311</v>
      </c>
      <c r="C25" s="16" t="s">
        <v>673</v>
      </c>
    </row>
    <row r="26" spans="1:4" ht="58" x14ac:dyDescent="0.35">
      <c r="A26" s="16" t="s">
        <v>297</v>
      </c>
      <c r="B26" s="16" t="s">
        <v>314</v>
      </c>
      <c r="C26" s="16" t="s">
        <v>676</v>
      </c>
      <c r="D26" t="s">
        <v>681</v>
      </c>
    </row>
    <row r="27" spans="1:4" ht="174" x14ac:dyDescent="0.35">
      <c r="A27" s="16" t="s">
        <v>298</v>
      </c>
      <c r="B27" s="16" t="s">
        <v>683</v>
      </c>
      <c r="C27" s="16" t="s">
        <v>677</v>
      </c>
    </row>
    <row r="28" spans="1:4" ht="43.5" x14ac:dyDescent="0.35">
      <c r="A28" s="16" t="s">
        <v>299</v>
      </c>
      <c r="B28" s="16" t="s">
        <v>682</v>
      </c>
      <c r="C28" s="16" t="s">
        <v>678</v>
      </c>
    </row>
    <row r="29" spans="1:4" ht="101.5" x14ac:dyDescent="0.35">
      <c r="A29" s="16" t="s">
        <v>300</v>
      </c>
      <c r="B29" s="16" t="s">
        <v>684</v>
      </c>
      <c r="C29" s="16" t="s">
        <v>679</v>
      </c>
    </row>
    <row r="30" spans="1:4" ht="29" x14ac:dyDescent="0.35">
      <c r="A30" s="16" t="s">
        <v>301</v>
      </c>
      <c r="B30" s="16" t="s">
        <v>685</v>
      </c>
      <c r="C30" s="16" t="s">
        <v>680</v>
      </c>
    </row>
    <row r="31" spans="1:4" ht="72.5" x14ac:dyDescent="0.35">
      <c r="A31" s="16" t="s">
        <v>303</v>
      </c>
      <c r="B31" s="16"/>
      <c r="C31" s="16" t="s">
        <v>686</v>
      </c>
    </row>
  </sheetData>
  <mergeCells count="1">
    <mergeCell ref="A5:D19"/>
  </mergeCells>
  <pageMargins left="0.75" right="0.75" top="1" bottom="1" header="0.5" footer="0.5"/>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N31"/>
  <sheetViews>
    <sheetView workbookViewId="0">
      <selection activeCell="E21" sqref="E21"/>
    </sheetView>
  </sheetViews>
  <sheetFormatPr defaultRowHeight="14.5" x14ac:dyDescent="0.35"/>
  <cols>
    <col min="1" max="1" width="14" customWidth="1"/>
    <col min="2" max="2" width="18" customWidth="1"/>
    <col min="3" max="3" width="21.36328125"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25" x14ac:dyDescent="0.35">
      <c r="A2" s="2" t="s">
        <v>230</v>
      </c>
      <c r="B2" s="8" t="s">
        <v>241</v>
      </c>
      <c r="C2" s="8" t="s">
        <v>242</v>
      </c>
      <c r="D2" s="8" t="s">
        <v>243</v>
      </c>
      <c r="E2" s="8" t="s">
        <v>166</v>
      </c>
      <c r="F2" s="14" t="s">
        <v>244</v>
      </c>
      <c r="G2" s="12" t="s">
        <v>245</v>
      </c>
      <c r="H2" s="8"/>
      <c r="I2" s="8" t="s">
        <v>246</v>
      </c>
      <c r="J2" s="8" t="s">
        <v>102</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N32"/>
  <sheetViews>
    <sheetView workbookViewId="0"/>
  </sheetViews>
  <sheetFormatPr defaultRowHeight="14.5" x14ac:dyDescent="0.35"/>
  <cols>
    <col min="1" max="1" width="14" customWidth="1"/>
    <col min="2" max="2" width="18" customWidth="1"/>
    <col min="3" max="3" width="20.7265625" bestFit="1"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62.5" x14ac:dyDescent="0.35">
      <c r="A2" s="4" t="s">
        <v>247</v>
      </c>
      <c r="B2" s="8" t="s">
        <v>248</v>
      </c>
      <c r="C2" s="8"/>
      <c r="D2" s="8" t="s">
        <v>249</v>
      </c>
      <c r="E2" s="8" t="s">
        <v>28</v>
      </c>
      <c r="F2" s="14"/>
      <c r="G2" s="14" t="s">
        <v>250</v>
      </c>
      <c r="H2" s="8"/>
      <c r="I2" s="8" t="s">
        <v>251</v>
      </c>
      <c r="J2" s="8" t="s">
        <v>177</v>
      </c>
      <c r="K2" s="8" t="s">
        <v>24</v>
      </c>
      <c r="L2" s="8"/>
      <c r="M2" s="8"/>
      <c r="N2" s="8"/>
    </row>
    <row r="4" spans="1:14" ht="43.5" x14ac:dyDescent="0.35">
      <c r="A4" s="22" t="s">
        <v>435</v>
      </c>
    </row>
    <row r="6" spans="1:14" x14ac:dyDescent="0.35">
      <c r="A6" s="120" t="s">
        <v>302</v>
      </c>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9" x14ac:dyDescent="0.35">
      <c r="A17" s="120"/>
      <c r="B17" s="120"/>
      <c r="C17" s="120"/>
      <c r="D17" s="120"/>
    </row>
    <row r="18" spans="1:9" x14ac:dyDescent="0.35">
      <c r="A18" s="120"/>
      <c r="B18" s="120"/>
      <c r="C18" s="120"/>
      <c r="D18" s="120"/>
    </row>
    <row r="19" spans="1:9" x14ac:dyDescent="0.35">
      <c r="A19" s="120"/>
      <c r="B19" s="120"/>
      <c r="C19" s="120"/>
      <c r="D19" s="120"/>
    </row>
    <row r="20" spans="1:9" x14ac:dyDescent="0.35">
      <c r="A20" s="120"/>
      <c r="B20" s="120"/>
      <c r="C20" s="120"/>
      <c r="D20" s="120"/>
    </row>
    <row r="21" spans="1:9" x14ac:dyDescent="0.35">
      <c r="F21" t="s">
        <v>434</v>
      </c>
    </row>
    <row r="23" spans="1:9" x14ac:dyDescent="0.35">
      <c r="A23" t="s">
        <v>306</v>
      </c>
      <c r="B23" t="s">
        <v>304</v>
      </c>
      <c r="C23" t="s">
        <v>305</v>
      </c>
      <c r="F23" t="s">
        <v>306</v>
      </c>
      <c r="G23" t="s">
        <v>304</v>
      </c>
      <c r="H23" t="s">
        <v>305</v>
      </c>
      <c r="I23" t="s">
        <v>333</v>
      </c>
    </row>
    <row r="24" spans="1:9" x14ac:dyDescent="0.35">
      <c r="A24" s="16" t="s">
        <v>294</v>
      </c>
      <c r="B24" s="16"/>
      <c r="C24" s="16"/>
      <c r="D24" s="16"/>
      <c r="F24" s="16" t="s">
        <v>294</v>
      </c>
      <c r="G24" s="16" t="s">
        <v>311</v>
      </c>
      <c r="H24" s="16"/>
      <c r="I24" s="16"/>
    </row>
    <row r="25" spans="1:9" x14ac:dyDescent="0.35">
      <c r="A25" s="16" t="s">
        <v>295</v>
      </c>
      <c r="B25" s="16"/>
      <c r="C25" s="16"/>
      <c r="D25" s="16"/>
      <c r="F25" s="16" t="s">
        <v>295</v>
      </c>
      <c r="G25" s="16" t="s">
        <v>311</v>
      </c>
      <c r="H25" s="16" t="s">
        <v>429</v>
      </c>
      <c r="I25" s="16"/>
    </row>
    <row r="26" spans="1:9" ht="72.5" x14ac:dyDescent="0.35">
      <c r="A26" s="16" t="s">
        <v>296</v>
      </c>
      <c r="B26" s="16"/>
      <c r="C26" s="16"/>
      <c r="D26" s="16"/>
      <c r="F26" s="16" t="s">
        <v>296</v>
      </c>
      <c r="G26" s="16"/>
      <c r="H26" s="16" t="s">
        <v>430</v>
      </c>
      <c r="I26" s="16"/>
    </row>
    <row r="27" spans="1:9" ht="116" x14ac:dyDescent="0.35">
      <c r="A27" s="16" t="s">
        <v>297</v>
      </c>
      <c r="B27" s="16"/>
      <c r="C27" s="16"/>
      <c r="D27" s="16"/>
      <c r="F27" s="16" t="s">
        <v>297</v>
      </c>
      <c r="G27" s="16"/>
      <c r="H27" s="16" t="s">
        <v>431</v>
      </c>
      <c r="I27" s="16"/>
    </row>
    <row r="28" spans="1:9" ht="29" x14ac:dyDescent="0.35">
      <c r="A28" s="16" t="s">
        <v>298</v>
      </c>
      <c r="B28" s="16"/>
      <c r="C28" s="16"/>
      <c r="D28" s="16"/>
      <c r="F28" s="16" t="s">
        <v>298</v>
      </c>
      <c r="G28" s="16"/>
      <c r="H28" s="16" t="s">
        <v>432</v>
      </c>
      <c r="I28" s="16"/>
    </row>
    <row r="29" spans="1:9" ht="29" x14ac:dyDescent="0.35">
      <c r="A29" s="16" t="s">
        <v>299</v>
      </c>
      <c r="B29" s="16"/>
      <c r="C29" s="16"/>
      <c r="D29" s="16"/>
      <c r="F29" s="16" t="s">
        <v>299</v>
      </c>
      <c r="G29" s="16"/>
      <c r="H29" s="16"/>
      <c r="I29" s="16" t="s">
        <v>433</v>
      </c>
    </row>
    <row r="30" spans="1:9" x14ac:dyDescent="0.35">
      <c r="A30" s="16" t="s">
        <v>300</v>
      </c>
      <c r="B30" s="16"/>
      <c r="C30" s="16"/>
      <c r="D30" s="16"/>
      <c r="F30" s="16" t="s">
        <v>300</v>
      </c>
      <c r="G30" s="16"/>
      <c r="H30" s="16"/>
      <c r="I30" s="16"/>
    </row>
    <row r="31" spans="1:9" x14ac:dyDescent="0.35">
      <c r="A31" s="16" t="s">
        <v>301</v>
      </c>
      <c r="B31" s="16"/>
      <c r="C31" s="16"/>
      <c r="D31" s="16"/>
      <c r="F31" s="16" t="s">
        <v>301</v>
      </c>
      <c r="G31" s="16"/>
      <c r="H31" s="16"/>
      <c r="I31" s="16"/>
    </row>
    <row r="32" spans="1:9" x14ac:dyDescent="0.35">
      <c r="A32" s="16" t="s">
        <v>303</v>
      </c>
      <c r="B32" s="16"/>
      <c r="C32" s="16"/>
      <c r="D32" s="16"/>
      <c r="F32" s="16" t="s">
        <v>303</v>
      </c>
      <c r="G32" s="16"/>
      <c r="H32" s="16"/>
      <c r="I32" s="16"/>
    </row>
  </sheetData>
  <mergeCells count="1">
    <mergeCell ref="A6:D20"/>
  </mergeCells>
  <pageMargins left="0.75" right="0.75" top="1" bottom="1" header="0.5" footer="0.5"/>
  <tableParts count="2">
    <tablePart r:id="rId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x14ac:dyDescent="0.35">
      <c r="A2" s="4" t="s">
        <v>247</v>
      </c>
      <c r="B2" s="3" t="s">
        <v>252</v>
      </c>
      <c r="C2" s="8" t="s">
        <v>253</v>
      </c>
      <c r="D2" s="3" t="s">
        <v>254</v>
      </c>
      <c r="E2" s="8" t="s">
        <v>255</v>
      </c>
      <c r="F2" s="11" t="s">
        <v>256</v>
      </c>
      <c r="G2" s="8" t="s">
        <v>257</v>
      </c>
      <c r="H2" s="8" t="s">
        <v>258</v>
      </c>
      <c r="I2" s="8" t="s">
        <v>259</v>
      </c>
      <c r="J2" s="8" t="s">
        <v>23</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ht="232" x14ac:dyDescent="0.35">
      <c r="A31" s="16" t="s">
        <v>303</v>
      </c>
      <c r="B31" s="16"/>
      <c r="C31" s="16" t="s">
        <v>473</v>
      </c>
    </row>
  </sheetData>
  <mergeCells count="1">
    <mergeCell ref="A5:D19"/>
  </mergeCells>
  <pageMargins left="0.75" right="0.75" top="1" bottom="1" header="0.5" footer="0.5"/>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25" x14ac:dyDescent="0.35">
      <c r="A2" s="5" t="s">
        <v>260</v>
      </c>
      <c r="B2" s="8" t="s">
        <v>261</v>
      </c>
      <c r="C2" s="8" t="s">
        <v>262</v>
      </c>
      <c r="D2" s="8" t="s">
        <v>263</v>
      </c>
      <c r="E2" s="8" t="s">
        <v>28</v>
      </c>
      <c r="F2" s="8"/>
      <c r="G2" s="8" t="s">
        <v>264</v>
      </c>
      <c r="I2" s="8" t="s">
        <v>265</v>
      </c>
      <c r="J2" s="8" t="s">
        <v>266</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25" x14ac:dyDescent="0.35">
      <c r="A2" s="5" t="s">
        <v>260</v>
      </c>
      <c r="B2" s="8" t="s">
        <v>267</v>
      </c>
      <c r="C2" s="8" t="s">
        <v>268</v>
      </c>
      <c r="D2" s="8" t="s">
        <v>269</v>
      </c>
      <c r="E2" s="8" t="s">
        <v>270</v>
      </c>
      <c r="F2" s="8" t="s">
        <v>271</v>
      </c>
      <c r="G2" s="8" t="s">
        <v>272</v>
      </c>
      <c r="H2" s="8"/>
      <c r="I2" s="8" t="s">
        <v>273</v>
      </c>
      <c r="J2" s="8" t="s">
        <v>274</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N31"/>
  <sheetViews>
    <sheetView topLeftCell="A2" workbookViewId="0">
      <selection activeCell="C31" sqref="C31"/>
    </sheetView>
  </sheetViews>
  <sheetFormatPr defaultRowHeight="14.5" x14ac:dyDescent="0.35"/>
  <cols>
    <col min="1" max="1" width="14" customWidth="1"/>
    <col min="2" max="2" width="18" customWidth="1"/>
    <col min="3" max="3" width="20.7265625" bestFit="1" customWidth="1"/>
    <col min="4" max="4" width="24" customWidth="1"/>
    <col min="5" max="5" width="35.7265625" bestFit="1"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25" x14ac:dyDescent="0.35">
      <c r="A2" s="5" t="s">
        <v>260</v>
      </c>
      <c r="B2" s="8" t="s">
        <v>275</v>
      </c>
      <c r="C2" s="8" t="s">
        <v>157</v>
      </c>
      <c r="D2" s="3" t="s">
        <v>479</v>
      </c>
      <c r="E2" s="8" t="s">
        <v>276</v>
      </c>
      <c r="F2" s="8"/>
      <c r="G2" s="8" t="s">
        <v>277</v>
      </c>
      <c r="H2" s="8" t="s">
        <v>278</v>
      </c>
      <c r="I2" s="8" t="s">
        <v>279</v>
      </c>
      <c r="J2" s="8" t="s">
        <v>82</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c r="E8" t="s">
        <v>480</v>
      </c>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ht="43.5" x14ac:dyDescent="0.35">
      <c r="A23" s="16" t="s">
        <v>294</v>
      </c>
      <c r="B23" s="16"/>
      <c r="C23" s="16" t="s">
        <v>484</v>
      </c>
    </row>
    <row r="24" spans="1:4" ht="43.5" x14ac:dyDescent="0.35">
      <c r="A24" s="16" t="s">
        <v>295</v>
      </c>
      <c r="B24" s="16" t="s">
        <v>314</v>
      </c>
      <c r="C24" s="16" t="s">
        <v>485</v>
      </c>
    </row>
    <row r="25" spans="1:4" ht="101.5" x14ac:dyDescent="0.35">
      <c r="A25" s="16" t="s">
        <v>296</v>
      </c>
      <c r="B25" s="16" t="s">
        <v>314</v>
      </c>
      <c r="C25" s="16" t="s">
        <v>482</v>
      </c>
    </row>
    <row r="26" spans="1:4" x14ac:dyDescent="0.35">
      <c r="A26" s="16" t="s">
        <v>297</v>
      </c>
      <c r="B26" s="16" t="s">
        <v>314</v>
      </c>
      <c r="C26" s="16" t="s">
        <v>481</v>
      </c>
    </row>
    <row r="27" spans="1:4" ht="29" x14ac:dyDescent="0.35">
      <c r="A27" s="16" t="s">
        <v>298</v>
      </c>
      <c r="B27" s="16" t="s">
        <v>488</v>
      </c>
      <c r="C27" s="16" t="s">
        <v>486</v>
      </c>
    </row>
    <row r="28" spans="1:4" ht="159.5" x14ac:dyDescent="0.35">
      <c r="A28" s="16" t="s">
        <v>299</v>
      </c>
      <c r="B28" s="16"/>
      <c r="C28" s="16" t="s">
        <v>487</v>
      </c>
    </row>
    <row r="29" spans="1:4" x14ac:dyDescent="0.35">
      <c r="A29" s="16" t="s">
        <v>300</v>
      </c>
      <c r="B29" s="16" t="s">
        <v>391</v>
      </c>
      <c r="C29" s="16" t="s">
        <v>319</v>
      </c>
    </row>
    <row r="30" spans="1:4" ht="101.5" x14ac:dyDescent="0.35">
      <c r="A30" s="16" t="s">
        <v>301</v>
      </c>
      <c r="B30" s="16" t="s">
        <v>314</v>
      </c>
      <c r="C30" s="16" t="s">
        <v>483</v>
      </c>
    </row>
    <row r="31" spans="1:4" ht="29" x14ac:dyDescent="0.35">
      <c r="A31" s="16" t="s">
        <v>303</v>
      </c>
      <c r="B31" s="16"/>
      <c r="C31" s="16" t="s">
        <v>489</v>
      </c>
    </row>
  </sheetData>
  <mergeCells count="1">
    <mergeCell ref="A5:D19"/>
  </mergeCells>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25" x14ac:dyDescent="0.35">
      <c r="A2" s="5" t="s">
        <v>260</v>
      </c>
      <c r="B2" s="8" t="s">
        <v>280</v>
      </c>
      <c r="C2" s="8" t="s">
        <v>179</v>
      </c>
      <c r="D2" s="8" t="s">
        <v>281</v>
      </c>
      <c r="E2" s="8" t="s">
        <v>282</v>
      </c>
      <c r="F2" s="14" t="s">
        <v>283</v>
      </c>
      <c r="G2" s="8" t="s">
        <v>284</v>
      </c>
      <c r="H2" s="8"/>
      <c r="I2" s="8" t="s">
        <v>285</v>
      </c>
      <c r="J2" s="8" t="s">
        <v>286</v>
      </c>
      <c r="K2" s="8" t="s">
        <v>24</v>
      </c>
      <c r="L2" s="8"/>
      <c r="M2" s="8"/>
      <c r="N2" s="8"/>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pageMargins left="0.75" right="0.75" top="1" bottom="1" header="0.5" footer="0.5"/>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N31"/>
  <sheetViews>
    <sheetView workbookViewId="0"/>
  </sheetViews>
  <sheetFormatPr defaultRowHeight="14.5" x14ac:dyDescent="0.35"/>
  <cols>
    <col min="1" max="1" width="14" customWidth="1"/>
    <col min="2" max="2" width="18" customWidth="1"/>
    <col min="3" max="3" width="14" customWidth="1"/>
    <col min="4" max="4" width="24" customWidth="1"/>
    <col min="5" max="5" width="34" customWidth="1"/>
    <col min="6" max="6" width="36" customWidth="1"/>
    <col min="7" max="7" width="20" customWidth="1"/>
    <col min="8" max="8" width="15" customWidth="1"/>
    <col min="9" max="9" width="28" customWidth="1"/>
    <col min="10" max="10" width="16" customWidth="1"/>
    <col min="11" max="11" width="14" customWidth="1"/>
    <col min="12" max="12" width="15" customWidth="1"/>
    <col min="13" max="13" width="40" customWidth="1"/>
    <col min="14" max="14" width="24.7265625" customWidth="1"/>
  </cols>
  <sheetData>
    <row r="1" spans="1:14" ht="28" x14ac:dyDescent="0.35">
      <c r="A1" s="13" t="s">
        <v>0</v>
      </c>
      <c r="B1" s="13" t="s">
        <v>1</v>
      </c>
      <c r="C1" s="13" t="s">
        <v>2</v>
      </c>
      <c r="D1" s="13" t="s">
        <v>3</v>
      </c>
      <c r="E1" s="13" t="s">
        <v>4</v>
      </c>
      <c r="F1" s="13" t="s">
        <v>5</v>
      </c>
      <c r="G1" s="13" t="s">
        <v>6</v>
      </c>
      <c r="H1" s="13" t="s">
        <v>7</v>
      </c>
      <c r="I1" s="13" t="s">
        <v>8</v>
      </c>
      <c r="J1" s="13" t="s">
        <v>9</v>
      </c>
      <c r="K1" s="13" t="s">
        <v>10</v>
      </c>
      <c r="L1" s="13" t="s">
        <v>11</v>
      </c>
      <c r="M1" s="13" t="s">
        <v>12</v>
      </c>
      <c r="N1" s="13" t="s">
        <v>13</v>
      </c>
    </row>
    <row r="2" spans="1:14" ht="25" x14ac:dyDescent="0.35">
      <c r="A2" s="5" t="s">
        <v>260</v>
      </c>
      <c r="B2" s="3" t="s">
        <v>287</v>
      </c>
      <c r="C2" s="8" t="s">
        <v>288</v>
      </c>
      <c r="D2" s="3" t="s">
        <v>451</v>
      </c>
      <c r="E2" s="8" t="s">
        <v>276</v>
      </c>
      <c r="F2" s="14" t="s">
        <v>289</v>
      </c>
      <c r="G2" s="3" t="s">
        <v>449</v>
      </c>
      <c r="H2" s="8"/>
      <c r="I2" s="8" t="s">
        <v>290</v>
      </c>
      <c r="J2" s="8" t="s">
        <v>291</v>
      </c>
      <c r="K2" s="8" t="s">
        <v>24</v>
      </c>
      <c r="L2" s="8"/>
      <c r="M2" s="8"/>
      <c r="N2" s="8"/>
    </row>
    <row r="3" spans="1:14" ht="54.5" customHeight="1" x14ac:dyDescent="0.35">
      <c r="E3" s="16" t="s">
        <v>452</v>
      </c>
      <c r="F3" s="7" t="s">
        <v>450</v>
      </c>
    </row>
    <row r="5" spans="1:14" x14ac:dyDescent="0.35">
      <c r="A5" s="120" t="s">
        <v>302</v>
      </c>
      <c r="B5" s="120"/>
      <c r="C5" s="120"/>
      <c r="D5" s="120"/>
    </row>
    <row r="6" spans="1:14" x14ac:dyDescent="0.35">
      <c r="A6" s="120"/>
      <c r="B6" s="120"/>
      <c r="C6" s="120"/>
      <c r="D6" s="120"/>
    </row>
    <row r="7" spans="1:14" x14ac:dyDescent="0.35">
      <c r="A7" s="120"/>
      <c r="B7" s="120"/>
      <c r="C7" s="120"/>
      <c r="D7" s="120"/>
    </row>
    <row r="8" spans="1:14" x14ac:dyDescent="0.35">
      <c r="A8" s="120"/>
      <c r="B8" s="120"/>
      <c r="C8" s="120"/>
      <c r="D8" s="120"/>
    </row>
    <row r="9" spans="1:14" x14ac:dyDescent="0.35">
      <c r="A9" s="120"/>
      <c r="B9" s="120"/>
      <c r="C9" s="120"/>
      <c r="D9" s="120"/>
    </row>
    <row r="10" spans="1:14" x14ac:dyDescent="0.35">
      <c r="A10" s="120"/>
      <c r="B10" s="120"/>
      <c r="C10" s="120"/>
      <c r="D10" s="120"/>
    </row>
    <row r="11" spans="1:14" x14ac:dyDescent="0.35">
      <c r="A11" s="120"/>
      <c r="B11" s="120"/>
      <c r="C11" s="120"/>
      <c r="D11" s="120"/>
    </row>
    <row r="12" spans="1:14" x14ac:dyDescent="0.35">
      <c r="A12" s="120"/>
      <c r="B12" s="120"/>
      <c r="C12" s="120"/>
      <c r="D12" s="120"/>
    </row>
    <row r="13" spans="1:14" x14ac:dyDescent="0.35">
      <c r="A13" s="120"/>
      <c r="B13" s="120"/>
      <c r="C13" s="120"/>
      <c r="D13" s="120"/>
    </row>
    <row r="14" spans="1:14" x14ac:dyDescent="0.35">
      <c r="A14" s="120"/>
      <c r="B14" s="120"/>
      <c r="C14" s="120"/>
      <c r="D14" s="120"/>
    </row>
    <row r="15" spans="1:14" x14ac:dyDescent="0.35">
      <c r="A15" s="120"/>
      <c r="B15" s="120"/>
      <c r="C15" s="120"/>
      <c r="D15" s="120"/>
    </row>
    <row r="16" spans="1:14" x14ac:dyDescent="0.35">
      <c r="A16" s="120"/>
      <c r="B16" s="120"/>
      <c r="C16" s="120"/>
      <c r="D16" s="120"/>
    </row>
    <row r="17" spans="1:4" x14ac:dyDescent="0.35">
      <c r="A17" s="120"/>
      <c r="B17" s="120"/>
      <c r="C17" s="120"/>
      <c r="D17" s="120"/>
    </row>
    <row r="18" spans="1:4" x14ac:dyDescent="0.35">
      <c r="A18" s="120"/>
      <c r="B18" s="120"/>
      <c r="C18" s="120"/>
      <c r="D18" s="120"/>
    </row>
    <row r="19" spans="1:4" x14ac:dyDescent="0.35">
      <c r="A19" s="120"/>
      <c r="B19" s="120"/>
      <c r="C19" s="120"/>
      <c r="D19" s="120"/>
    </row>
    <row r="22" spans="1:4" x14ac:dyDescent="0.35">
      <c r="A22" t="s">
        <v>306</v>
      </c>
      <c r="B22" t="s">
        <v>304</v>
      </c>
      <c r="C22" t="s">
        <v>305</v>
      </c>
    </row>
    <row r="23" spans="1:4" x14ac:dyDescent="0.35">
      <c r="A23" s="16" t="s">
        <v>294</v>
      </c>
      <c r="B23" s="16"/>
      <c r="C23" s="16"/>
    </row>
    <row r="24" spans="1:4" x14ac:dyDescent="0.35">
      <c r="A24" s="16" t="s">
        <v>295</v>
      </c>
      <c r="B24" s="16"/>
      <c r="C24" s="16"/>
    </row>
    <row r="25" spans="1:4" x14ac:dyDescent="0.35">
      <c r="A25" s="16" t="s">
        <v>296</v>
      </c>
      <c r="B25" s="16"/>
      <c r="C25" s="16"/>
    </row>
    <row r="26" spans="1:4" x14ac:dyDescent="0.35">
      <c r="A26" s="16" t="s">
        <v>297</v>
      </c>
      <c r="B26" s="16"/>
      <c r="C26" s="16"/>
    </row>
    <row r="27" spans="1:4" x14ac:dyDescent="0.35">
      <c r="A27" s="16" t="s">
        <v>298</v>
      </c>
      <c r="B27" s="16"/>
      <c r="C27" s="16"/>
    </row>
    <row r="28" spans="1:4" x14ac:dyDescent="0.35">
      <c r="A28" s="16" t="s">
        <v>299</v>
      </c>
      <c r="B28" s="16"/>
      <c r="C28" s="16"/>
    </row>
    <row r="29" spans="1:4" x14ac:dyDescent="0.35">
      <c r="A29" s="16" t="s">
        <v>300</v>
      </c>
      <c r="B29" s="16"/>
      <c r="C29" s="16"/>
    </row>
    <row r="30" spans="1:4" x14ac:dyDescent="0.35">
      <c r="A30" s="16" t="s">
        <v>301</v>
      </c>
      <c r="B30" s="16"/>
      <c r="C30" s="16"/>
    </row>
    <row r="31" spans="1:4" x14ac:dyDescent="0.35">
      <c r="A31" s="16" t="s">
        <v>303</v>
      </c>
      <c r="B31" s="16"/>
      <c r="C31" s="16"/>
    </row>
  </sheetData>
  <mergeCells count="1">
    <mergeCell ref="A5:D19"/>
  </mergeCells>
  <hyperlinks>
    <hyperlink ref="F3" r:id="rId1" xr:uid="{2EB6DFE9-109E-4FC3-948B-3B992284FE3A}"/>
  </hyperlinks>
  <pageMargins left="0.75" right="0.75" top="1" bottom="1" header="0.5" footer="0.5"/>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Full survey table</vt:lpstr>
      <vt:lpstr>log(debt) vs log(pop.) normaliz</vt:lpstr>
      <vt:lpstr>GMA &amp; Pop fact check</vt:lpstr>
      <vt:lpstr>GMA &amp; Pop. Bib.</vt:lpstr>
      <vt:lpstr>Contacts</vt:lpstr>
      <vt:lpstr>Othello</vt:lpstr>
      <vt:lpstr>Ritzville</vt:lpstr>
      <vt:lpstr>Clarkston</vt:lpstr>
      <vt:lpstr>Longview</vt:lpstr>
      <vt:lpstr>Kelso</vt:lpstr>
      <vt:lpstr>Castle Rock</vt:lpstr>
      <vt:lpstr>Woodland</vt:lpstr>
      <vt:lpstr>Kalama</vt:lpstr>
      <vt:lpstr>Republic</vt:lpstr>
      <vt:lpstr>Aberdeen</vt:lpstr>
      <vt:lpstr>Hoquiam</vt:lpstr>
      <vt:lpstr>Ocean Shores</vt:lpstr>
      <vt:lpstr>Montesano</vt:lpstr>
      <vt:lpstr>Elma</vt:lpstr>
      <vt:lpstr>Westport</vt:lpstr>
      <vt:lpstr>Cosmopolis</vt:lpstr>
      <vt:lpstr>Goldendale</vt:lpstr>
      <vt:lpstr>White Salmon</vt:lpstr>
      <vt:lpstr>Bingen</vt:lpstr>
      <vt:lpstr>Davenport</vt:lpstr>
      <vt:lpstr>Odessa</vt:lpstr>
      <vt:lpstr>Harrington</vt:lpstr>
      <vt:lpstr>Reardan</vt:lpstr>
      <vt:lpstr>Wilbur</vt:lpstr>
      <vt:lpstr>Omak</vt:lpstr>
      <vt:lpstr>Okanogan (city)</vt:lpstr>
      <vt:lpstr>Brewster</vt:lpstr>
      <vt:lpstr>Oroville</vt:lpstr>
      <vt:lpstr>Tonasket</vt:lpstr>
      <vt:lpstr>Pateros</vt:lpstr>
      <vt:lpstr>Twisp</vt:lpstr>
      <vt:lpstr>Winthrop</vt:lpstr>
      <vt:lpstr>Skamania County - General Publi</vt:lpstr>
      <vt:lpstr>Stevenson</vt:lpstr>
      <vt:lpstr>North Bonneville</vt:lpstr>
      <vt:lpstr>Wahkiakum County - General Publ</vt:lpstr>
      <vt:lpstr>Cathlamet</vt:lpstr>
      <vt:lpstr>Pullman</vt:lpstr>
      <vt:lpstr>Colfax</vt:lpstr>
      <vt:lpstr>Palouse</vt:lpstr>
      <vt:lpstr>Tekoa</vt:lpstr>
      <vt:lpstr>Rosalia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Rowan Medlock</cp:lastModifiedBy>
  <cp:revision>0</cp:revision>
  <dcterms:created xsi:type="dcterms:W3CDTF">2026-04-21T20:10:47Z</dcterms:created>
  <dcterms:modified xsi:type="dcterms:W3CDTF">2026-07-31T06:40:15Z</dcterms:modified>
  <dc:language>en-US</dc:language>
</cp:coreProperties>
</file>